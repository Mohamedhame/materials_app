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6.xml" ContentType="application/vnd.openxmlformats-officedocument.drawingml.chart+xml"/>
  <Override PartName="/xl/drawings/drawing10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programing_lang\web\projects\materials\project1\api\"/>
    </mc:Choice>
  </mc:AlternateContent>
  <xr:revisionPtr revIDLastSave="0" documentId="13_ncr:1_{54909373-CC18-4402-8BFE-47F56DDDD562}" xr6:coauthVersionLast="47" xr6:coauthVersionMax="47" xr10:uidLastSave="{00000000-0000-0000-0000-000000000000}"/>
  <bookViews>
    <workbookView xWindow="-108" yWindow="-108" windowWidth="23256" windowHeight="12576" tabRatio="601" activeTab="6" xr2:uid="{00000000-000D-0000-FFFF-FFFF00000000}"/>
  </bookViews>
  <sheets>
    <sheet name="Report" sheetId="4" r:id="rId1"/>
    <sheet name="PI" sheetId="6" r:id="rId2"/>
    <sheet name="Proctor" sheetId="7" r:id="rId3"/>
    <sheet name="10 Blows" sheetId="8" r:id="rId4"/>
    <sheet name="25 Blows" sheetId="9" r:id="rId5"/>
    <sheet name="65 Blows" sheetId="10" r:id="rId6"/>
    <sheet name="Bearing Ratio" sheetId="11" r:id="rId7"/>
  </sheets>
  <externalReferences>
    <externalReference r:id="rId8"/>
  </externalReferences>
  <definedNames>
    <definedName name="_xlnm.Print_Area" localSheetId="3">'10 Blows'!$A$1:$J$41</definedName>
    <definedName name="_xlnm.Print_Area" localSheetId="4">'25 Blows'!$A$1:$J$41</definedName>
    <definedName name="_xlnm.Print_Area" localSheetId="5">'65 Blows'!$A$1:$J$42</definedName>
    <definedName name="_xlnm.Print_Area" localSheetId="6">'Bearing Ratio'!$A$1:$J$45</definedName>
    <definedName name="_xlnm.Print_Area" localSheetId="1">PI!$A$1:$K$26</definedName>
    <definedName name="_xlnm.Print_Area" localSheetId="2">Proctor!$A$1:$J$41</definedName>
    <definedName name="_xlnm.Print_Area" localSheetId="0">Report!$A$1:$Q$41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9" i="11" l="1"/>
  <c r="G19" i="11"/>
  <c r="F19" i="11"/>
  <c r="H43" i="11"/>
  <c r="B43" i="11"/>
  <c r="I34" i="11"/>
  <c r="E34" i="11"/>
  <c r="F17" i="11"/>
  <c r="G17" i="11"/>
  <c r="C15" i="11"/>
  <c r="C14" i="11"/>
  <c r="E13" i="11"/>
  <c r="D12" i="11"/>
  <c r="I11" i="11"/>
  <c r="D11" i="11"/>
  <c r="H7" i="11"/>
  <c r="B7" i="11"/>
  <c r="H6" i="11"/>
  <c r="B6" i="11"/>
  <c r="C15" i="10"/>
  <c r="C14" i="10"/>
  <c r="E13" i="10"/>
  <c r="D12" i="10"/>
  <c r="I11" i="10"/>
  <c r="D11" i="10"/>
  <c r="C15" i="9"/>
  <c r="C14" i="9"/>
  <c r="E13" i="9"/>
  <c r="D12" i="9"/>
  <c r="I11" i="9"/>
  <c r="D11" i="9"/>
  <c r="I11" i="8"/>
  <c r="C15" i="8"/>
  <c r="C14" i="8"/>
  <c r="E13" i="8"/>
  <c r="D12" i="8"/>
  <c r="D11" i="8"/>
  <c r="H6" i="10"/>
  <c r="B7" i="10"/>
  <c r="B6" i="10"/>
  <c r="H6" i="9"/>
  <c r="B7" i="8"/>
  <c r="B6" i="8"/>
  <c r="H6" i="8"/>
  <c r="B7" i="9"/>
  <c r="B6" i="9"/>
  <c r="H7" i="10"/>
  <c r="H7" i="9"/>
  <c r="H7" i="8"/>
  <c r="H21" i="10"/>
  <c r="H22" i="10"/>
  <c r="I22" i="10" s="1"/>
  <c r="H23" i="10"/>
  <c r="H24" i="10"/>
  <c r="H25" i="10"/>
  <c r="H26" i="10"/>
  <c r="H27" i="10"/>
  <c r="I27" i="10" s="1"/>
  <c r="H28" i="10"/>
  <c r="I28" i="10" s="1"/>
  <c r="H29" i="10"/>
  <c r="H20" i="10"/>
  <c r="B39" i="10"/>
  <c r="I29" i="10"/>
  <c r="I25" i="10"/>
  <c r="I24" i="10"/>
  <c r="I23" i="10"/>
  <c r="I21" i="10"/>
  <c r="H21" i="9"/>
  <c r="I21" i="9" s="1"/>
  <c r="H22" i="9"/>
  <c r="I22" i="9" s="1"/>
  <c r="H23" i="9"/>
  <c r="I23" i="9" s="1"/>
  <c r="H24" i="9"/>
  <c r="I24" i="9" s="1"/>
  <c r="H25" i="9"/>
  <c r="I25" i="9" s="1"/>
  <c r="H26" i="9"/>
  <c r="I26" i="9" s="1"/>
  <c r="H27" i="9"/>
  <c r="H28" i="9"/>
  <c r="I28" i="9" s="1"/>
  <c r="H29" i="9"/>
  <c r="I29" i="9" s="1"/>
  <c r="H20" i="9"/>
  <c r="H21" i="8"/>
  <c r="I21" i="8" s="1"/>
  <c r="H22" i="8"/>
  <c r="I22" i="8" s="1"/>
  <c r="H23" i="8"/>
  <c r="I23" i="8" s="1"/>
  <c r="H24" i="8"/>
  <c r="H25" i="8"/>
  <c r="I25" i="8" s="1"/>
  <c r="H26" i="8"/>
  <c r="I26" i="8" s="1"/>
  <c r="H27" i="8"/>
  <c r="I27" i="8" s="1"/>
  <c r="H28" i="8"/>
  <c r="I28" i="8" s="1"/>
  <c r="H29" i="8"/>
  <c r="H20" i="8"/>
  <c r="I20" i="8" s="1"/>
  <c r="H19" i="8"/>
  <c r="B39" i="9"/>
  <c r="B39" i="8"/>
  <c r="I8" i="7"/>
  <c r="G45" i="7"/>
  <c r="G44" i="7"/>
  <c r="F44" i="7"/>
  <c r="H45" i="7"/>
  <c r="F45" i="7"/>
  <c r="I26" i="10" l="1"/>
  <c r="I20" i="10"/>
  <c r="H17" i="11"/>
  <c r="E33" i="10"/>
  <c r="I33" i="10"/>
  <c r="I27" i="9"/>
  <c r="I20" i="9"/>
  <c r="I29" i="8"/>
  <c r="I24" i="8"/>
  <c r="E33" i="9"/>
  <c r="I33" i="8"/>
  <c r="E33" i="8"/>
  <c r="P7" i="4"/>
  <c r="G40" i="7"/>
  <c r="B40" i="7"/>
  <c r="F13" i="7"/>
  <c r="E12" i="7"/>
  <c r="F11" i="7"/>
  <c r="E15" i="7"/>
  <c r="E14" i="7"/>
  <c r="H19" i="7"/>
  <c r="E34" i="10" l="1"/>
  <c r="H18" i="11"/>
  <c r="E34" i="8"/>
  <c r="F18" i="11"/>
  <c r="I33" i="9"/>
  <c r="F19" i="7"/>
  <c r="E19" i="7"/>
  <c r="G19" i="7"/>
  <c r="E34" i="9" l="1"/>
  <c r="G18" i="11"/>
  <c r="F12" i="6"/>
  <c r="E11" i="6"/>
  <c r="B7" i="6"/>
  <c r="J7" i="6"/>
  <c r="I16" i="4" l="1"/>
  <c r="E16" i="4"/>
  <c r="I17" i="6" l="1"/>
  <c r="C17" i="6"/>
  <c r="D14" i="6"/>
  <c r="D13" i="6"/>
  <c r="C14" i="6"/>
  <c r="C13" i="6"/>
  <c r="B22" i="6" l="1"/>
  <c r="G25" i="6"/>
  <c r="A25" i="6"/>
  <c r="C12" i="6"/>
  <c r="C11" i="6"/>
  <c r="I7" i="6"/>
  <c r="C10" i="6" l="1"/>
  <c r="I6" i="6" l="1"/>
  <c r="E17" i="6"/>
</calcChain>
</file>

<file path=xl/sharedStrings.xml><?xml version="1.0" encoding="utf-8"?>
<sst xmlns="http://schemas.openxmlformats.org/spreadsheetml/2006/main" count="385" uniqueCount="105">
  <si>
    <t>Result</t>
  </si>
  <si>
    <t>Percentage Passing (%)</t>
  </si>
  <si>
    <t>Opening Size (mm)</t>
  </si>
  <si>
    <t>Atterberg Limits:</t>
  </si>
  <si>
    <t>L.L. (%):</t>
  </si>
  <si>
    <t>P.L.(%):</t>
  </si>
  <si>
    <t>P.I. (%):</t>
  </si>
  <si>
    <t>ARDAMAN</t>
  </si>
  <si>
    <t>MATERIALS AND CONSULTING TESTING</t>
  </si>
  <si>
    <t>25 Ashgar City Compound Maadi - Cairo ,Egypt</t>
  </si>
  <si>
    <t>S.A.E</t>
  </si>
  <si>
    <t>Tel : 02-27468647 - 01006030248</t>
  </si>
  <si>
    <t>Ras Al Hekma International Airport</t>
  </si>
  <si>
    <t>Plasticity Index 
(%)</t>
  </si>
  <si>
    <t>Plastic Limit 
(%)</t>
  </si>
  <si>
    <t>Liquid Limit 
(%)</t>
  </si>
  <si>
    <t>Sample Identification No.</t>
  </si>
  <si>
    <r>
      <t xml:space="preserve">Source of the sample : </t>
    </r>
    <r>
      <rPr>
        <i/>
        <sz val="12"/>
        <color indexed="8"/>
        <rFont val="Times New Roman"/>
        <family val="1"/>
      </rPr>
      <t xml:space="preserve">Excavated Materials from Site </t>
    </r>
  </si>
  <si>
    <t>LIQUID LIMIT , PLASTIC LIMIT , AND PLASTICITY INDEX OF SOILS</t>
  </si>
  <si>
    <t>MATERIALS AND CONSTTRUCTION TESTING</t>
  </si>
  <si>
    <t>ARDAMAN Split</t>
  </si>
  <si>
    <t>Project : Ras Al Hekma International Airport</t>
  </si>
  <si>
    <t>Result:</t>
  </si>
  <si>
    <t>N.P</t>
  </si>
  <si>
    <t xml:space="preserve"> STANDARD TEST METHODS FOR PARTICLE SIZE DISTRIBUTION OF SOILS USING SIEVE ANALYSIS ACCORDING TO ASTM D6913 &amp;</t>
  </si>
  <si>
    <t xml:space="preserve"> STANDARD TEST METHODS FOR DETERMINING THE AMOUNT OF MATERIAL FINER THAN 75MM SIEVE IN SOILS BY WASHING ACCORDING TO ASTM D1140</t>
  </si>
  <si>
    <t>Project Spec :- Section 31 23 16.33 ( Excavation, Fill and Subgrade)</t>
  </si>
  <si>
    <t>Dept. Manager : Eng. Reda El Raheb</t>
  </si>
  <si>
    <t>ACCORDING TO ASTM D 4318</t>
  </si>
  <si>
    <t>Specification limit</t>
  </si>
  <si>
    <t>Prepared by : Eng. Alaa Hassan</t>
  </si>
  <si>
    <t>The sample complies with the project specifications outlined in Section 31 23 16.33, Part 2, Item 2.1.B regarding suitable materials used for the construction of fill under pavements.</t>
  </si>
  <si>
    <t xml:space="preserve">Stockpile : </t>
  </si>
  <si>
    <t xml:space="preserve">Sample No: </t>
  </si>
  <si>
    <t>Not Specified</t>
  </si>
  <si>
    <t>Quantity :</t>
  </si>
  <si>
    <t>To</t>
  </si>
  <si>
    <t>Specification limit (%)</t>
  </si>
  <si>
    <t>Max 30%</t>
  </si>
  <si>
    <t>Max 7%</t>
  </si>
  <si>
    <t>Soil Classification According to ASTM D2487 : Silty Sand with Gravel (SM)                                                                     Coefficient of uniformity ( Cu ): ( N/A ) ( D10 not available )</t>
  </si>
  <si>
    <r>
      <t>m</t>
    </r>
    <r>
      <rPr>
        <b/>
        <i/>
        <vertAlign val="superscript"/>
        <sz val="12"/>
        <color rgb="FF000000"/>
        <rFont val="Times New Roman"/>
        <family val="1"/>
      </rPr>
      <t>3</t>
    </r>
  </si>
  <si>
    <t>File No.5143</t>
  </si>
  <si>
    <t>Sample delivery date:</t>
  </si>
  <si>
    <t xml:space="preserve">Source of material :- </t>
  </si>
  <si>
    <t>Saleh Swiker Soil 70% + Swiker Sand 30%</t>
  </si>
  <si>
    <t>Date :</t>
  </si>
  <si>
    <t>.</t>
  </si>
  <si>
    <t xml:space="preserve">Description of the Tested Materials :- </t>
  </si>
  <si>
    <t>Fill / SM</t>
  </si>
  <si>
    <t>ARDAMAN SPLIT</t>
  </si>
  <si>
    <t xml:space="preserve">MOISTURE DENSITY RELATIONSHIP OF SOIL </t>
  </si>
  <si>
    <t>According To ASTM D1557, Procedure 'C'.</t>
  </si>
  <si>
    <r>
      <t>Wet Unit Weight, gm/cm</t>
    </r>
    <r>
      <rPr>
        <b/>
        <vertAlign val="superscript"/>
        <sz val="10"/>
        <color indexed="8"/>
        <rFont val="Times New Roman"/>
        <family val="1"/>
      </rPr>
      <t>3</t>
    </r>
  </si>
  <si>
    <t>Water Content, %</t>
  </si>
  <si>
    <t>Dry Unit Weight, gm/cm3</t>
  </si>
  <si>
    <t>Maximum dry density =</t>
  </si>
  <si>
    <r>
      <t>g/cm</t>
    </r>
    <r>
      <rPr>
        <b/>
        <vertAlign val="superscript"/>
        <sz val="12"/>
        <color rgb="FF000000"/>
        <rFont val="Times New Roman"/>
        <family val="1"/>
      </rPr>
      <t>3</t>
    </r>
  </si>
  <si>
    <t xml:space="preserve">Optimum moisture content = </t>
  </si>
  <si>
    <t>%</t>
  </si>
  <si>
    <t>File No.: 5143</t>
  </si>
  <si>
    <t>Materials and Construction Testing, S.A.E.</t>
  </si>
  <si>
    <t>25 Ashgar Darna Compound, Maadi - Cairo</t>
  </si>
  <si>
    <t>Tel.: 0227468647 - 01006030248</t>
  </si>
  <si>
    <t>email: info@ardamaninternational.com</t>
  </si>
  <si>
    <t>CBR (CALIFORNIA  BEARING  RATIO)</t>
  </si>
  <si>
    <t>OF LABORATORY - COMPACTED SOILS</t>
  </si>
  <si>
    <t>ASTM D 1883</t>
  </si>
  <si>
    <t>Penetration</t>
  </si>
  <si>
    <t>Load</t>
  </si>
  <si>
    <t>Stress</t>
  </si>
  <si>
    <t>(in.)</t>
  </si>
  <si>
    <t>(KN)</t>
  </si>
  <si>
    <t>(psi)</t>
  </si>
  <si>
    <t xml:space="preserve">  </t>
  </si>
  <si>
    <t xml:space="preserve"> </t>
  </si>
  <si>
    <t>Results of (10 ) Blows after Soaking for 4 days</t>
  </si>
  <si>
    <t xml:space="preserve">  CBR  , %  at 0.1 in. Penetration</t>
  </si>
  <si>
    <t xml:space="preserve">  CBR  , %  at 0.2 in. Penetration</t>
  </si>
  <si>
    <t xml:space="preserve">  CBR  , %  for (10) Blows  </t>
  </si>
  <si>
    <t xml:space="preserve">  Swell , %  of Initial Height.</t>
  </si>
  <si>
    <t xml:space="preserve">  Moisture , %  before soaking </t>
  </si>
  <si>
    <r>
      <t xml:space="preserve">  Dry Density (gm/cm</t>
    </r>
    <r>
      <rPr>
        <vertAlign val="superscript"/>
        <sz val="16"/>
        <rFont val="Arial"/>
        <family val="2"/>
      </rPr>
      <t>3</t>
    </r>
    <r>
      <rPr>
        <sz val="16"/>
        <rFont val="Arial"/>
        <family val="2"/>
      </rPr>
      <t>)</t>
    </r>
  </si>
  <si>
    <t>(1-4)</t>
  </si>
  <si>
    <t>Results of (25) Blows after Soaking for 4 days</t>
  </si>
  <si>
    <t>(2-4)</t>
  </si>
  <si>
    <t>Results of (65) Blows after Soaking for 4 days</t>
  </si>
  <si>
    <t>(3-4)</t>
  </si>
  <si>
    <t>Soaking Date</t>
  </si>
  <si>
    <t xml:space="preserve">ARDAMAN </t>
  </si>
  <si>
    <r>
      <rPr>
        <sz val="16"/>
        <rFont val="Times New Roman"/>
        <family val="1"/>
      </rPr>
      <t>CBR</t>
    </r>
    <r>
      <rPr>
        <sz val="14"/>
        <rFont val="Times New Roman"/>
        <family val="1"/>
      </rPr>
      <t xml:space="preserve"> (CALIFORNIA  BEARING  RATIO)</t>
    </r>
  </si>
  <si>
    <t>ASTM D1883</t>
  </si>
  <si>
    <t>No.  of  Blows</t>
  </si>
  <si>
    <t xml:space="preserve"> Specifications Limit</t>
  </si>
  <si>
    <r>
      <t>Dry Density (gm/cm</t>
    </r>
    <r>
      <rPr>
        <vertAlign val="superscript"/>
        <sz val="11"/>
        <rFont val="Cambria"/>
        <family val="1"/>
        <scheme val="major"/>
      </rPr>
      <t>3</t>
    </r>
    <r>
      <rPr>
        <sz val="11"/>
        <rFont val="Cambria"/>
        <family val="1"/>
        <scheme val="major"/>
      </rPr>
      <t>)</t>
    </r>
  </si>
  <si>
    <t>Corrected  CBR(%)</t>
  </si>
  <si>
    <t>Swell , %  of Initial Height.</t>
  </si>
  <si>
    <t>max 1%</t>
  </si>
  <si>
    <t xml:space="preserve">  Maximum Dry Density (gm/cm3)</t>
  </si>
  <si>
    <t xml:space="preserve">  Optimum Moisture , %</t>
  </si>
  <si>
    <t xml:space="preserve">  CBR  , %  for  Soil  at  100 %  of Maximum dry Density</t>
  </si>
  <si>
    <t>Min 15 %</t>
  </si>
  <si>
    <t>Note * : The CBR has been established under soaked conditions and after compaction as per ASTM D1557, Procedure 'C'.</t>
  </si>
  <si>
    <t xml:space="preserve">The Sample Complies with project specifications section 31 23 16.33  part 2 item 2.2 C. </t>
  </si>
  <si>
    <t>(4-4)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</si>
</sst>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_-&quot;ر.س.&quot;\ * #,##0.00_-;_-&quot;ر.س.&quot;\ * #,##0.00\-;_-&quot;ر.س.&quot;\ * &quot;-&quot;??_-;_-@_-"/>
    <numFmt numFmtId="167" formatCode="dd/mm/yyyy"/>
  </numFmts>
  <fonts count="8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b/>
      <i/>
      <sz val="12"/>
      <color indexed="8"/>
      <name val="Times New Roman"/>
      <family val="1"/>
    </font>
    <font>
      <b/>
      <i/>
      <sz val="10"/>
      <color indexed="8"/>
      <name val="Times New Roman"/>
      <family val="1"/>
    </font>
    <font>
      <b/>
      <i/>
      <u/>
      <sz val="14"/>
      <color indexed="8"/>
      <name val="Times New Roman"/>
      <family val="1"/>
    </font>
    <font>
      <sz val="8"/>
      <name val="Calibri"/>
      <family val="2"/>
    </font>
    <font>
      <b/>
      <i/>
      <u/>
      <sz val="12"/>
      <color indexed="8"/>
      <name val="Times New Roman"/>
      <family val="1"/>
    </font>
    <font>
      <b/>
      <i/>
      <sz val="11"/>
      <color indexed="8"/>
      <name val="Times New Roman"/>
      <family val="1"/>
    </font>
    <font>
      <sz val="10"/>
      <name val="Arial"/>
      <family val="2"/>
    </font>
    <font>
      <b/>
      <sz val="12"/>
      <name val="Times New Roman"/>
      <family val="1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MS Serif Euro"/>
      <family val="1"/>
      <charset val="178"/>
    </font>
    <font>
      <b/>
      <i/>
      <sz val="12"/>
      <name val="Times New Roman"/>
      <family val="1"/>
    </font>
    <font>
      <b/>
      <i/>
      <sz val="12"/>
      <name val="Times New Roman"/>
      <family val="1"/>
      <charset val="178"/>
    </font>
    <font>
      <b/>
      <i/>
      <sz val="13"/>
      <name val="Times New Roman"/>
      <family val="1"/>
      <charset val="178"/>
    </font>
    <font>
      <sz val="12"/>
      <name val="MS Serif Euro"/>
      <family val="1"/>
      <charset val="178"/>
    </font>
    <font>
      <sz val="11"/>
      <name val="MS Serif Euro"/>
      <family val="1"/>
      <charset val="178"/>
    </font>
    <font>
      <b/>
      <u/>
      <sz val="12"/>
      <name val="Times New Roman"/>
      <family val="1"/>
    </font>
    <font>
      <b/>
      <i/>
      <sz val="11"/>
      <name val="Times New Roman"/>
      <family val="1"/>
      <charset val="178"/>
    </font>
    <font>
      <b/>
      <i/>
      <sz val="10"/>
      <name val="Times New Roman"/>
      <family val="1"/>
      <charset val="178"/>
    </font>
    <font>
      <i/>
      <u/>
      <sz val="12"/>
      <name val="Times New Roman"/>
      <family val="1"/>
      <charset val="178"/>
    </font>
    <font>
      <b/>
      <i/>
      <sz val="10"/>
      <name val="Times New Roman"/>
      <family val="1"/>
    </font>
    <font>
      <b/>
      <i/>
      <u/>
      <sz val="12"/>
      <name val="Times New Roman"/>
      <family val="1"/>
      <charset val="178"/>
    </font>
    <font>
      <b/>
      <sz val="12"/>
      <name val="MS Serif Euro"/>
      <family val="1"/>
      <charset val="178"/>
    </font>
    <font>
      <b/>
      <i/>
      <sz val="12"/>
      <color indexed="8"/>
      <name val="Times New Roman"/>
      <family val="1"/>
      <charset val="178"/>
    </font>
    <font>
      <i/>
      <sz val="12"/>
      <color indexed="8"/>
      <name val="Times New Roman"/>
      <family val="1"/>
    </font>
    <font>
      <sz val="12"/>
      <name val="Arial"/>
      <family val="2"/>
    </font>
    <font>
      <i/>
      <sz val="10"/>
      <name val="MS Serif Euro"/>
      <family val="1"/>
      <charset val="178"/>
    </font>
    <font>
      <b/>
      <i/>
      <u/>
      <sz val="13.5"/>
      <name val="MS Serif Euro"/>
      <family val="1"/>
      <charset val="178"/>
    </font>
    <font>
      <b/>
      <sz val="12"/>
      <color indexed="8"/>
      <name val="Times New Roman"/>
      <family val="1"/>
    </font>
    <font>
      <b/>
      <sz val="10"/>
      <name val="Times New Roman"/>
      <family val="1"/>
      <charset val="178"/>
    </font>
    <font>
      <b/>
      <sz val="11"/>
      <name val="MS Serif Euro"/>
    </font>
    <font>
      <b/>
      <sz val="12"/>
      <name val="Times New Roman"/>
      <family val="1"/>
      <charset val="178"/>
    </font>
    <font>
      <b/>
      <sz val="10"/>
      <color indexed="8"/>
      <name val="Times New Roman"/>
      <family val="1"/>
    </font>
    <font>
      <b/>
      <sz val="12"/>
      <color indexed="8"/>
      <name val="Times New Roman"/>
      <family val="1"/>
      <charset val="178"/>
    </font>
    <font>
      <b/>
      <sz val="11"/>
      <color indexed="8"/>
      <name val="Times New Roman"/>
      <family val="1"/>
      <charset val="178"/>
    </font>
    <font>
      <b/>
      <i/>
      <vertAlign val="superscript"/>
      <sz val="12"/>
      <color rgb="FF000000"/>
      <name val="Times New Roman"/>
      <family val="1"/>
    </font>
    <font>
      <b/>
      <u/>
      <sz val="14"/>
      <name val="Times New Roman"/>
      <family val="1"/>
      <charset val="178"/>
    </font>
    <font>
      <sz val="10"/>
      <name val="Times New Roman"/>
      <family val="1"/>
      <charset val="178"/>
    </font>
    <font>
      <b/>
      <u/>
      <sz val="12"/>
      <color indexed="8"/>
      <name val="Times New Roman"/>
      <family val="1"/>
    </font>
    <font>
      <b/>
      <sz val="12"/>
      <name val="Cambria"/>
      <family val="1"/>
      <charset val="178"/>
      <scheme val="major"/>
    </font>
    <font>
      <b/>
      <vertAlign val="superscript"/>
      <sz val="10"/>
      <color indexed="8"/>
      <name val="Times New Roman"/>
      <family val="1"/>
    </font>
    <font>
      <b/>
      <vertAlign val="superscript"/>
      <sz val="12"/>
      <color rgb="FF000000"/>
      <name val="Times New Roman"/>
      <family val="1"/>
    </font>
    <font>
      <b/>
      <sz val="12"/>
      <color indexed="8"/>
      <name val="Calibri"/>
      <family val="2"/>
    </font>
    <font>
      <u/>
      <sz val="14"/>
      <name val="Arial"/>
      <family val="2"/>
    </font>
    <font>
      <sz val="16"/>
      <color theme="1"/>
      <name val="Times New Roman"/>
      <family val="1"/>
    </font>
    <font>
      <sz val="12"/>
      <color theme="1"/>
      <name val="Times New Roman"/>
      <family val="1"/>
    </font>
    <font>
      <sz val="11"/>
      <name val="Times New Roman"/>
      <family val="1"/>
    </font>
    <font>
      <sz val="11"/>
      <name val="Traditional Arabic"/>
      <family val="1"/>
    </font>
    <font>
      <sz val="11"/>
      <name val="Arial"/>
      <family val="2"/>
    </font>
    <font>
      <u/>
      <sz val="12"/>
      <name val="Times New Roman"/>
      <family val="1"/>
    </font>
    <font>
      <u/>
      <sz val="12"/>
      <name val="Cambria"/>
      <family val="1"/>
      <scheme val="major"/>
    </font>
    <font>
      <u/>
      <sz val="12"/>
      <name val="Arial"/>
      <family val="2"/>
    </font>
    <font>
      <sz val="12"/>
      <name val="Times New Roman"/>
      <family val="1"/>
      <charset val="178"/>
    </font>
    <font>
      <sz val="12"/>
      <name val="Cambria"/>
      <family val="1"/>
      <charset val="178"/>
      <scheme val="major"/>
    </font>
    <font>
      <u/>
      <sz val="11"/>
      <name val="Cambria"/>
      <family val="1"/>
      <charset val="178"/>
      <scheme val="major"/>
    </font>
    <font>
      <u/>
      <sz val="11"/>
      <name val="Arial"/>
      <family val="2"/>
    </font>
    <font>
      <u/>
      <sz val="11"/>
      <name val="Cambria"/>
      <family val="1"/>
      <scheme val="major"/>
    </font>
    <font>
      <sz val="24"/>
      <color rgb="FFFF0000"/>
      <name val="Times New Roman"/>
      <family val="1"/>
    </font>
    <font>
      <sz val="10"/>
      <name val="Times New Roman"/>
      <family val="1"/>
    </font>
    <font>
      <sz val="10"/>
      <color theme="0" tint="-0.34998626667073579"/>
      <name val="Arial"/>
      <family val="2"/>
    </font>
    <font>
      <sz val="10"/>
      <name val="Arial"/>
      <family val="2"/>
      <charset val="178"/>
    </font>
    <font>
      <u/>
      <sz val="14"/>
      <name val="Cambria"/>
      <family val="1"/>
      <scheme val="major"/>
    </font>
    <font>
      <u/>
      <sz val="13"/>
      <name val="Cambria"/>
      <family val="1"/>
      <scheme val="major"/>
    </font>
    <font>
      <vertAlign val="superscript"/>
      <sz val="16"/>
      <name val="Arial"/>
      <family val="2"/>
    </font>
    <font>
      <sz val="16"/>
      <name val="Arial"/>
      <family val="2"/>
    </font>
    <font>
      <sz val="11"/>
      <name val="Cambria"/>
      <family val="1"/>
      <scheme val="major"/>
    </font>
    <font>
      <sz val="8"/>
      <name val="Traditional Arabic"/>
      <family val="1"/>
    </font>
    <font>
      <sz val="16"/>
      <color rgb="FFFF0000"/>
      <name val="Times New Roman"/>
      <family val="1"/>
    </font>
    <font>
      <sz val="20"/>
      <color rgb="FFFF0000"/>
      <name val="Times New Roman"/>
      <family val="1"/>
    </font>
    <font>
      <sz val="16"/>
      <name val="Times New Roman"/>
      <family val="1"/>
    </font>
    <font>
      <sz val="10"/>
      <color theme="0" tint="-0.34998626667073579"/>
      <name val="Arial"/>
      <family val="2"/>
      <charset val="178"/>
    </font>
    <font>
      <sz val="10"/>
      <color indexed="9"/>
      <name val="Arial"/>
      <family val="2"/>
    </font>
    <font>
      <sz val="12"/>
      <name val="Times New Roman"/>
      <family val="1"/>
    </font>
    <font>
      <sz val="12"/>
      <name val="Cambria"/>
      <family val="1"/>
      <scheme val="major"/>
    </font>
    <font>
      <sz val="14"/>
      <name val="Cambria"/>
      <family val="1"/>
      <scheme val="major"/>
    </font>
    <font>
      <sz val="14"/>
      <name val="Times New Roman"/>
      <family val="1"/>
    </font>
    <font>
      <vertAlign val="superscript"/>
      <sz val="11"/>
      <name val="Cambria"/>
      <family val="1"/>
      <scheme val="major"/>
    </font>
    <font>
      <sz val="13"/>
      <name val="Cambria"/>
      <family val="1"/>
      <scheme val="major"/>
    </font>
    <font>
      <u/>
      <sz val="10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7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medium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9">
    <xf numFmtId="0" fontId="0" fillId="0" borderId="0"/>
    <xf numFmtId="0" fontId="8" fillId="0" borderId="0"/>
    <xf numFmtId="0" fontId="11" fillId="0" borderId="0"/>
    <xf numFmtId="0" fontId="8" fillId="0" borderId="0"/>
    <xf numFmtId="0" fontId="10" fillId="0" borderId="0"/>
    <xf numFmtId="0" fontId="8" fillId="0" borderId="0"/>
    <xf numFmtId="0" fontId="8" fillId="0" borderId="0"/>
    <xf numFmtId="0" fontId="8" fillId="0" borderId="0"/>
    <xf numFmtId="0" fontId="8" fillId="0" borderId="0"/>
  </cellStyleXfs>
  <cellXfs count="441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14" fontId="2" fillId="0" borderId="0" xfId="0" applyNumberFormat="1" applyFont="1" applyAlignment="1">
      <alignment vertical="center" wrapText="1"/>
    </xf>
    <xf numFmtId="165" fontId="7" fillId="0" borderId="9" xfId="0" applyNumberFormat="1" applyFont="1" applyBorder="1" applyAlignment="1">
      <alignment horizontal="center" vertical="center" wrapText="1"/>
    </xf>
    <xf numFmtId="165" fontId="7" fillId="0" borderId="5" xfId="0" applyNumberFormat="1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2" fontId="7" fillId="0" borderId="3" xfId="0" applyNumberFormat="1" applyFont="1" applyBorder="1" applyAlignment="1">
      <alignment horizontal="center" vertical="center" wrapText="1"/>
    </xf>
    <xf numFmtId="2" fontId="7" fillId="0" borderId="9" xfId="0" applyNumberFormat="1" applyFont="1" applyBorder="1" applyAlignment="1">
      <alignment horizontal="center" vertical="center" wrapText="1"/>
    </xf>
    <xf numFmtId="0" fontId="11" fillId="0" borderId="0" xfId="2"/>
    <xf numFmtId="0" fontId="12" fillId="0" borderId="0" xfId="2" applyFont="1"/>
    <xf numFmtId="166" fontId="14" fillId="0" borderId="13" xfId="2" applyNumberFormat="1" applyFont="1" applyBorder="1" applyAlignment="1">
      <alignment horizontal="left" vertical="top" wrapText="1"/>
    </xf>
    <xf numFmtId="0" fontId="16" fillId="0" borderId="0" xfId="2" applyFont="1"/>
    <xf numFmtId="0" fontId="17" fillId="0" borderId="0" xfId="2" applyFont="1"/>
    <xf numFmtId="0" fontId="16" fillId="0" borderId="0" xfId="2" applyFont="1" applyAlignment="1">
      <alignment vertical="top"/>
    </xf>
    <xf numFmtId="0" fontId="25" fillId="0" borderId="0" xfId="2" applyFont="1" applyAlignment="1">
      <alignment vertical="top"/>
    </xf>
    <xf numFmtId="0" fontId="25" fillId="0" borderId="0" xfId="2" applyFont="1"/>
    <xf numFmtId="0" fontId="27" fillId="0" borderId="0" xfId="2" applyFont="1"/>
    <xf numFmtId="0" fontId="30" fillId="0" borderId="0" xfId="0" applyFont="1" applyAlignment="1">
      <alignment vertical="center" wrapText="1"/>
    </xf>
    <xf numFmtId="0" fontId="30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164" fontId="7" fillId="0" borderId="20" xfId="0" applyNumberFormat="1" applyFont="1" applyBorder="1" applyAlignment="1">
      <alignment horizontal="center" vertical="center"/>
    </xf>
    <xf numFmtId="1" fontId="7" fillId="0" borderId="5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left" vertical="center"/>
    </xf>
    <xf numFmtId="0" fontId="30" fillId="0" borderId="24" xfId="0" applyFont="1" applyBorder="1" applyAlignment="1">
      <alignment horizontal="center" vertical="center" wrapText="1"/>
    </xf>
    <xf numFmtId="0" fontId="30" fillId="0" borderId="31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27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2" xfId="0" applyFont="1" applyBorder="1" applyAlignment="1">
      <alignment vertical="center" wrapText="1"/>
    </xf>
    <xf numFmtId="0" fontId="35" fillId="0" borderId="0" xfId="0" applyFont="1" applyAlignment="1">
      <alignment horizontal="center" vertical="center" wrapText="1"/>
    </xf>
    <xf numFmtId="0" fontId="35" fillId="0" borderId="0" xfId="0" applyFont="1" applyAlignment="1">
      <alignment vertical="center" wrapText="1"/>
    </xf>
    <xf numFmtId="0" fontId="30" fillId="0" borderId="0" xfId="0" applyFont="1" applyAlignment="1">
      <alignment horizontal="left" vertical="center" wrapText="1"/>
    </xf>
    <xf numFmtId="0" fontId="2" fillId="0" borderId="25" xfId="0" applyFont="1" applyBorder="1" applyAlignment="1">
      <alignment vertical="center" wrapText="1"/>
    </xf>
    <xf numFmtId="0" fontId="2" fillId="0" borderId="26" xfId="0" applyFont="1" applyBorder="1" applyAlignment="1">
      <alignment vertical="center" wrapText="1"/>
    </xf>
    <xf numFmtId="0" fontId="2" fillId="0" borderId="31" xfId="0" applyFont="1" applyBorder="1" applyAlignment="1">
      <alignment vertical="center" wrapText="1"/>
    </xf>
    <xf numFmtId="0" fontId="2" fillId="0" borderId="32" xfId="0" applyFont="1" applyBorder="1" applyAlignment="1">
      <alignment vertical="center" wrapText="1"/>
    </xf>
    <xf numFmtId="0" fontId="2" fillId="0" borderId="27" xfId="0" applyFont="1" applyBorder="1" applyAlignment="1">
      <alignment vertical="center" wrapText="1"/>
    </xf>
    <xf numFmtId="0" fontId="2" fillId="0" borderId="28" xfId="0" applyFont="1" applyBorder="1" applyAlignment="1">
      <alignment vertical="center" wrapText="1"/>
    </xf>
    <xf numFmtId="0" fontId="3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0" fillId="0" borderId="0" xfId="0" applyFont="1" applyAlignment="1">
      <alignment horizontal="left" vertical="center"/>
    </xf>
    <xf numFmtId="0" fontId="30" fillId="0" borderId="0" xfId="0" applyFont="1" applyAlignment="1" applyProtection="1">
      <alignment horizontal="center" vertical="center" wrapText="1"/>
      <protection locked="0"/>
    </xf>
    <xf numFmtId="0" fontId="30" fillId="0" borderId="0" xfId="0" applyFont="1" applyAlignment="1">
      <alignment horizontal="center" vertical="center" wrapText="1"/>
    </xf>
    <xf numFmtId="0" fontId="2" fillId="0" borderId="36" xfId="0" applyFont="1" applyBorder="1" applyAlignment="1">
      <alignment vertical="center" wrapText="1"/>
    </xf>
    <xf numFmtId="0" fontId="6" fillId="0" borderId="0" xfId="0" applyFont="1" applyAlignment="1">
      <alignment vertical="center"/>
    </xf>
    <xf numFmtId="0" fontId="2" fillId="0" borderId="30" xfId="0" applyFont="1" applyBorder="1" applyAlignment="1">
      <alignment vertical="center" wrapText="1"/>
    </xf>
    <xf numFmtId="0" fontId="2" fillId="0" borderId="29" xfId="0" applyFont="1" applyBorder="1" applyAlignment="1">
      <alignment vertical="center" wrapText="1"/>
    </xf>
    <xf numFmtId="0" fontId="2" fillId="0" borderId="33" xfId="0" applyFont="1" applyBorder="1" applyAlignment="1">
      <alignment vertical="center" wrapText="1"/>
    </xf>
    <xf numFmtId="0" fontId="2" fillId="0" borderId="35" xfId="0" applyFont="1" applyBorder="1" applyAlignment="1">
      <alignment vertical="top"/>
    </xf>
    <xf numFmtId="0" fontId="2" fillId="0" borderId="35" xfId="0" applyFont="1" applyBorder="1" applyAlignment="1">
      <alignment vertical="center" wrapText="1"/>
    </xf>
    <xf numFmtId="0" fontId="2" fillId="0" borderId="35" xfId="0" applyFont="1" applyBorder="1" applyAlignment="1">
      <alignment horizontal="right" vertical="top"/>
    </xf>
    <xf numFmtId="0" fontId="2" fillId="0" borderId="34" xfId="0" applyFont="1" applyBorder="1" applyAlignment="1">
      <alignment vertical="center" wrapText="1"/>
    </xf>
    <xf numFmtId="0" fontId="25" fillId="0" borderId="31" xfId="2" applyFont="1" applyBorder="1"/>
    <xf numFmtId="0" fontId="25" fillId="0" borderId="32" xfId="2" applyFont="1" applyBorder="1"/>
    <xf numFmtId="0" fontId="14" fillId="0" borderId="31" xfId="2" applyFont="1" applyBorder="1" applyAlignment="1">
      <alignment vertical="top"/>
    </xf>
    <xf numFmtId="0" fontId="25" fillId="0" borderId="32" xfId="2" applyFont="1" applyBorder="1" applyAlignment="1">
      <alignment horizontal="left" vertical="top"/>
    </xf>
    <xf numFmtId="0" fontId="13" fillId="0" borderId="31" xfId="2" applyFont="1" applyBorder="1" applyAlignment="1">
      <alignment vertical="top"/>
    </xf>
    <xf numFmtId="0" fontId="23" fillId="0" borderId="32" xfId="2" applyFont="1" applyBorder="1" applyAlignment="1">
      <alignment horizontal="left" vertical="top"/>
    </xf>
    <xf numFmtId="0" fontId="13" fillId="0" borderId="31" xfId="2" applyFont="1" applyBorder="1" applyAlignment="1">
      <alignment vertical="center"/>
    </xf>
    <xf numFmtId="0" fontId="23" fillId="0" borderId="32" xfId="2" applyFont="1" applyBorder="1" applyAlignment="1">
      <alignment horizontal="center" vertical="center"/>
    </xf>
    <xf numFmtId="0" fontId="21" fillId="0" borderId="32" xfId="2" applyFont="1" applyBorder="1" applyAlignment="1">
      <alignment horizontal="center" vertical="center"/>
    </xf>
    <xf numFmtId="0" fontId="16" fillId="0" borderId="31" xfId="2" applyFont="1" applyBorder="1"/>
    <xf numFmtId="0" fontId="16" fillId="0" borderId="32" xfId="2" applyFont="1" applyBorder="1"/>
    <xf numFmtId="0" fontId="6" fillId="0" borderId="31" xfId="2" applyFont="1" applyBorder="1" applyAlignment="1">
      <alignment horizontal="left" vertical="center"/>
    </xf>
    <xf numFmtId="0" fontId="7" fillId="0" borderId="31" xfId="2" applyFont="1" applyBorder="1" applyAlignment="1">
      <alignment vertical="center"/>
    </xf>
    <xf numFmtId="0" fontId="17" fillId="0" borderId="32" xfId="2" applyFont="1" applyBorder="1"/>
    <xf numFmtId="0" fontId="3" fillId="0" borderId="31" xfId="2" applyFont="1" applyBorder="1" applyAlignment="1">
      <alignment horizontal="left" vertical="center"/>
    </xf>
    <xf numFmtId="0" fontId="3" fillId="0" borderId="31" xfId="2" applyFont="1" applyBorder="1" applyAlignment="1">
      <alignment vertical="center"/>
    </xf>
    <xf numFmtId="0" fontId="15" fillId="0" borderId="25" xfId="1" applyFont="1" applyBorder="1" applyAlignment="1">
      <alignment horizontal="left" vertical="top"/>
    </xf>
    <xf numFmtId="166" fontId="14" fillId="0" borderId="26" xfId="2" applyNumberFormat="1" applyFont="1" applyBorder="1" applyAlignment="1">
      <alignment horizontal="left" vertical="top" wrapText="1"/>
    </xf>
    <xf numFmtId="0" fontId="14" fillId="0" borderId="33" xfId="1" applyFont="1" applyBorder="1" applyAlignment="1">
      <alignment horizontal="left" vertical="top"/>
    </xf>
    <xf numFmtId="0" fontId="13" fillId="0" borderId="35" xfId="2" applyFont="1" applyBorder="1" applyAlignment="1">
      <alignment vertical="top"/>
    </xf>
    <xf numFmtId="0" fontId="12" fillId="0" borderId="35" xfId="2" applyFont="1" applyBorder="1"/>
    <xf numFmtId="0" fontId="15" fillId="0" borderId="35" xfId="1" applyFont="1" applyBorder="1" applyAlignment="1">
      <alignment vertical="top"/>
    </xf>
    <xf numFmtId="0" fontId="13" fillId="0" borderId="34" xfId="2" applyFont="1" applyBorder="1" applyAlignment="1">
      <alignment vertical="top"/>
    </xf>
    <xf numFmtId="0" fontId="9" fillId="0" borderId="0" xfId="1" applyFont="1" applyAlignment="1">
      <alignment horizontal="left" vertical="center"/>
    </xf>
    <xf numFmtId="0" fontId="35" fillId="0" borderId="0" xfId="2" applyFont="1"/>
    <xf numFmtId="0" fontId="9" fillId="0" borderId="0" xfId="1" applyFont="1" applyAlignment="1">
      <alignment vertical="center"/>
    </xf>
    <xf numFmtId="0" fontId="33" fillId="0" borderId="0" xfId="1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14" fillId="0" borderId="0" xfId="2" applyFont="1" applyAlignment="1">
      <alignment vertical="top"/>
    </xf>
    <xf numFmtId="0" fontId="33" fillId="0" borderId="0" xfId="1" applyFont="1" applyAlignment="1">
      <alignment horizontal="center" vertical="center"/>
    </xf>
    <xf numFmtId="0" fontId="33" fillId="0" borderId="0" xfId="2" applyFont="1" applyAlignment="1">
      <alignment vertical="top"/>
    </xf>
    <xf numFmtId="2" fontId="24" fillId="0" borderId="0" xfId="2" applyNumberFormat="1" applyFont="1" applyAlignment="1">
      <alignment vertical="top"/>
    </xf>
    <xf numFmtId="0" fontId="22" fillId="0" borderId="0" xfId="2" applyFont="1"/>
    <xf numFmtId="0" fontId="24" fillId="0" borderId="0" xfId="2" applyFont="1"/>
    <xf numFmtId="0" fontId="20" fillId="0" borderId="0" xfId="2" applyFont="1" applyAlignment="1">
      <alignment horizontal="center" vertical="top"/>
    </xf>
    <xf numFmtId="0" fontId="20" fillId="0" borderId="0" xfId="2" applyFont="1" applyAlignment="1">
      <alignment horizontal="center" vertical="center"/>
    </xf>
    <xf numFmtId="164" fontId="14" fillId="0" borderId="0" xfId="2" applyNumberFormat="1" applyFont="1" applyAlignment="1">
      <alignment horizontal="center" vertical="center"/>
    </xf>
    <xf numFmtId="164" fontId="19" fillId="0" borderId="0" xfId="2" applyNumberFormat="1" applyFont="1" applyAlignment="1">
      <alignment horizontal="center" vertical="center"/>
    </xf>
    <xf numFmtId="0" fontId="14" fillId="0" borderId="0" xfId="2" applyFont="1" applyAlignment="1">
      <alignment horizontal="center" vertical="center"/>
    </xf>
    <xf numFmtId="164" fontId="19" fillId="0" borderId="0" xfId="2" applyNumberFormat="1" applyFont="1" applyAlignment="1">
      <alignment horizontal="center"/>
    </xf>
    <xf numFmtId="0" fontId="18" fillId="0" borderId="0" xfId="2" applyFont="1"/>
    <xf numFmtId="0" fontId="13" fillId="0" borderId="0" xfId="0" applyFont="1" applyAlignment="1">
      <alignment vertical="center"/>
    </xf>
    <xf numFmtId="167" fontId="35" fillId="0" borderId="0" xfId="2" applyNumberFormat="1" applyFont="1"/>
    <xf numFmtId="2" fontId="30" fillId="0" borderId="0" xfId="0" quotePrefix="1" applyNumberFormat="1" applyFont="1" applyAlignment="1" applyProtection="1">
      <alignment horizontal="center" vertical="center" wrapText="1"/>
      <protection locked="0"/>
    </xf>
    <xf numFmtId="1" fontId="30" fillId="0" borderId="0" xfId="0" applyNumberFormat="1" applyFont="1" applyAlignment="1" applyProtection="1">
      <alignment horizontal="center" vertical="center" wrapText="1"/>
      <protection locked="0"/>
    </xf>
    <xf numFmtId="0" fontId="35" fillId="0" borderId="0" xfId="0" applyFont="1" applyAlignment="1">
      <alignment horizontal="left" vertical="center" wrapText="1"/>
    </xf>
    <xf numFmtId="0" fontId="30" fillId="0" borderId="25" xfId="0" applyFont="1" applyBorder="1" applyAlignment="1">
      <alignment vertical="center" wrapText="1"/>
    </xf>
    <xf numFmtId="0" fontId="8" fillId="0" borderId="32" xfId="0" applyFont="1" applyBorder="1" applyAlignment="1">
      <alignment horizontal="centerContinuous"/>
    </xf>
    <xf numFmtId="0" fontId="13" fillId="0" borderId="2" xfId="0" applyFont="1" applyBorder="1"/>
    <xf numFmtId="0" fontId="39" fillId="0" borderId="2" xfId="0" applyFont="1" applyBorder="1" applyAlignment="1">
      <alignment horizontal="left"/>
    </xf>
    <xf numFmtId="0" fontId="0" fillId="0" borderId="29" xfId="0" applyBorder="1"/>
    <xf numFmtId="0" fontId="30" fillId="0" borderId="1" xfId="0" applyFont="1" applyBorder="1" applyAlignment="1">
      <alignment vertical="center" wrapText="1"/>
    </xf>
    <xf numFmtId="0" fontId="30" fillId="0" borderId="28" xfId="0" applyFont="1" applyBorder="1" applyAlignment="1">
      <alignment vertical="center" wrapText="1"/>
    </xf>
    <xf numFmtId="165" fontId="30" fillId="0" borderId="3" xfId="0" applyNumberFormat="1" applyFont="1" applyBorder="1" applyAlignment="1" applyProtection="1">
      <alignment horizontal="center" vertical="center" wrapText="1"/>
      <protection locked="0"/>
    </xf>
    <xf numFmtId="165" fontId="30" fillId="0" borderId="9" xfId="0" applyNumberFormat="1" applyFont="1" applyBorder="1" applyAlignment="1" applyProtection="1">
      <alignment horizontal="center" vertical="center" wrapText="1"/>
      <protection locked="0"/>
    </xf>
    <xf numFmtId="164" fontId="30" fillId="0" borderId="21" xfId="0" applyNumberFormat="1" applyFont="1" applyBorder="1" applyAlignment="1" applyProtection="1">
      <alignment horizontal="center" vertical="center" wrapText="1"/>
      <protection locked="0"/>
    </xf>
    <xf numFmtId="164" fontId="30" fillId="0" borderId="22" xfId="0" applyNumberFormat="1" applyFont="1" applyBorder="1" applyAlignment="1" applyProtection="1">
      <alignment horizontal="center" vertical="center" wrapText="1"/>
      <protection locked="0"/>
    </xf>
    <xf numFmtId="165" fontId="30" fillId="0" borderId="39" xfId="0" applyNumberFormat="1" applyFont="1" applyBorder="1" applyAlignment="1">
      <alignment horizontal="center" vertical="center" wrapText="1"/>
    </xf>
    <xf numFmtId="165" fontId="30" fillId="0" borderId="40" xfId="0" applyNumberFormat="1" applyFont="1" applyBorder="1" applyAlignment="1">
      <alignment horizontal="center" vertical="center" wrapText="1"/>
    </xf>
    <xf numFmtId="0" fontId="34" fillId="0" borderId="31" xfId="0" applyFont="1" applyBorder="1" applyAlignment="1">
      <alignment vertical="center" wrapText="1"/>
    </xf>
    <xf numFmtId="0" fontId="34" fillId="0" borderId="32" xfId="0" applyFont="1" applyBorder="1" applyAlignment="1">
      <alignment vertical="center" wrapText="1"/>
    </xf>
    <xf numFmtId="0" fontId="30" fillId="0" borderId="2" xfId="0" applyFont="1" applyBorder="1" applyAlignment="1">
      <alignment vertical="center"/>
    </xf>
    <xf numFmtId="0" fontId="30" fillId="0" borderId="33" xfId="0" applyFont="1" applyBorder="1" applyAlignment="1">
      <alignment vertical="center" wrapText="1"/>
    </xf>
    <xf numFmtId="0" fontId="30" fillId="0" borderId="35" xfId="0" applyFont="1" applyBorder="1" applyAlignment="1">
      <alignment vertical="top" wrapText="1"/>
    </xf>
    <xf numFmtId="0" fontId="30" fillId="0" borderId="34" xfId="0" applyFont="1" applyBorder="1" applyAlignment="1">
      <alignment vertical="top" wrapText="1"/>
    </xf>
    <xf numFmtId="14" fontId="30" fillId="0" borderId="0" xfId="0" applyNumberFormat="1" applyFont="1" applyAlignment="1">
      <alignment vertical="center" wrapText="1"/>
    </xf>
    <xf numFmtId="0" fontId="30" fillId="0" borderId="0" xfId="0" applyFont="1" applyAlignment="1">
      <alignment horizontal="center" wrapText="1"/>
    </xf>
    <xf numFmtId="0" fontId="39" fillId="0" borderId="0" xfId="0" applyFont="1" applyAlignment="1">
      <alignment horizontal="centerContinuous"/>
    </xf>
    <xf numFmtId="0" fontId="40" fillId="0" borderId="0" xfId="0" applyFont="1" applyAlignment="1">
      <alignment vertical="center"/>
    </xf>
    <xf numFmtId="9" fontId="30" fillId="0" borderId="0" xfId="0" applyNumberFormat="1" applyFont="1" applyAlignment="1">
      <alignment horizontal="left" vertical="center" wrapText="1"/>
    </xf>
    <xf numFmtId="0" fontId="34" fillId="0" borderId="0" xfId="0" applyFont="1" applyAlignment="1">
      <alignment vertical="center" wrapText="1"/>
    </xf>
    <xf numFmtId="0" fontId="30" fillId="0" borderId="0" xfId="0" applyFont="1" applyAlignment="1">
      <alignment wrapText="1"/>
    </xf>
    <xf numFmtId="165" fontId="30" fillId="0" borderId="0" xfId="0" applyNumberFormat="1" applyFont="1" applyAlignment="1" applyProtection="1">
      <alignment horizontal="center" vertical="center" wrapText="1"/>
      <protection locked="0"/>
    </xf>
    <xf numFmtId="2" fontId="30" fillId="0" borderId="0" xfId="0" applyNumberFormat="1" applyFont="1" applyAlignment="1">
      <alignment horizontal="center" vertical="center"/>
    </xf>
    <xf numFmtId="0" fontId="44" fillId="0" borderId="0" xfId="0" applyFont="1"/>
    <xf numFmtId="10" fontId="34" fillId="0" borderId="0" xfId="0" applyNumberFormat="1" applyFont="1" applyAlignment="1">
      <alignment vertical="center" wrapText="1"/>
    </xf>
    <xf numFmtId="0" fontId="34" fillId="0" borderId="0" xfId="0" applyFont="1" applyAlignment="1">
      <alignment vertical="center"/>
    </xf>
    <xf numFmtId="2" fontId="30" fillId="0" borderId="0" xfId="0" applyNumberFormat="1" applyFont="1" applyAlignment="1" applyProtection="1">
      <alignment horizontal="center" vertical="center" wrapText="1"/>
      <protection locked="0"/>
    </xf>
    <xf numFmtId="2" fontId="30" fillId="0" borderId="0" xfId="0" applyNumberFormat="1" applyFont="1" applyAlignment="1">
      <alignment horizontal="center" vertical="center" wrapText="1"/>
    </xf>
    <xf numFmtId="165" fontId="30" fillId="0" borderId="0" xfId="0" applyNumberFormat="1" applyFont="1" applyAlignment="1">
      <alignment horizontal="center" vertical="center" wrapText="1"/>
    </xf>
    <xf numFmtId="167" fontId="13" fillId="0" borderId="0" xfId="0" quotePrefix="1" applyNumberFormat="1" applyFont="1" applyAlignment="1">
      <alignment horizontal="left"/>
    </xf>
    <xf numFmtId="0" fontId="30" fillId="0" borderId="0" xfId="0" quotePrefix="1" applyFont="1" applyAlignment="1">
      <alignment horizontal="left" vertical="center"/>
    </xf>
    <xf numFmtId="0" fontId="30" fillId="0" borderId="0" xfId="0" applyFont="1" applyAlignment="1">
      <alignment horizontal="center" vertical="center"/>
    </xf>
    <xf numFmtId="0" fontId="35" fillId="0" borderId="17" xfId="0" applyFont="1" applyBorder="1" applyAlignment="1">
      <alignment horizontal="left" vertical="center" wrapText="1"/>
    </xf>
    <xf numFmtId="0" fontId="35" fillId="0" borderId="18" xfId="0" applyFont="1" applyBorder="1" applyAlignment="1">
      <alignment horizontal="left" vertical="center" wrapText="1"/>
    </xf>
    <xf numFmtId="0" fontId="35" fillId="0" borderId="19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9" fillId="0" borderId="0" xfId="1" quotePrefix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30" fillId="0" borderId="24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30" fillId="0" borderId="24" xfId="0" applyFont="1" applyBorder="1" applyAlignment="1">
      <alignment horizontal="left" vertical="center" wrapText="1"/>
    </xf>
    <xf numFmtId="0" fontId="35" fillId="0" borderId="20" xfId="0" applyFont="1" applyBorder="1" applyAlignment="1">
      <alignment horizontal="left" vertical="center" wrapText="1"/>
    </xf>
    <xf numFmtId="0" fontId="1" fillId="0" borderId="21" xfId="0" applyFont="1" applyBorder="1" applyAlignment="1">
      <alignment horizontal="left" vertical="center" wrapText="1"/>
    </xf>
    <xf numFmtId="0" fontId="1" fillId="0" borderId="22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0" fillId="0" borderId="2" xfId="0" quotePrefix="1" applyFont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167" fontId="34" fillId="0" borderId="2" xfId="0" quotePrefix="1" applyNumberFormat="1" applyFont="1" applyBorder="1" applyAlignment="1">
      <alignment horizontal="center" vertical="center"/>
    </xf>
    <xf numFmtId="0" fontId="30" fillId="0" borderId="0" xfId="0" quotePrefix="1" applyFont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1" xfId="0" quotePrefix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30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9" xfId="0" applyFont="1" applyBorder="1" applyAlignment="1" applyProtection="1">
      <alignment horizontal="center" vertical="center" wrapText="1"/>
      <protection locked="0"/>
    </xf>
    <xf numFmtId="0" fontId="3" fillId="0" borderId="31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3" fillId="0" borderId="32" xfId="0" applyFont="1" applyBorder="1" applyAlignment="1" applyProtection="1">
      <alignment horizontal="center" vertical="center" wrapText="1"/>
      <protection locked="0"/>
    </xf>
    <xf numFmtId="0" fontId="3" fillId="0" borderId="27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8" xfId="0" applyFont="1" applyBorder="1" applyAlignment="1" applyProtection="1">
      <alignment horizontal="center" vertical="center" wrapText="1"/>
      <protection locked="0"/>
    </xf>
    <xf numFmtId="167" fontId="2" fillId="0" borderId="1" xfId="0" applyNumberFormat="1" applyFont="1" applyBorder="1" applyAlignment="1">
      <alignment horizontal="center" vertical="center"/>
    </xf>
    <xf numFmtId="167" fontId="2" fillId="0" borderId="28" xfId="0" applyNumberFormat="1" applyFont="1" applyBorder="1" applyAlignment="1">
      <alignment horizontal="center" vertical="center"/>
    </xf>
    <xf numFmtId="0" fontId="31" fillId="0" borderId="0" xfId="0" applyFont="1" applyAlignment="1">
      <alignment horizontal="center"/>
    </xf>
    <xf numFmtId="0" fontId="14" fillId="0" borderId="4" xfId="2" applyFont="1" applyBorder="1" applyAlignment="1">
      <alignment horizontal="center" vertical="center" wrapText="1"/>
    </xf>
    <xf numFmtId="0" fontId="14" fillId="0" borderId="3" xfId="2" applyFont="1" applyBorder="1" applyAlignment="1">
      <alignment horizontal="center" vertical="center" wrapText="1"/>
    </xf>
    <xf numFmtId="0" fontId="14" fillId="0" borderId="3" xfId="2" applyFont="1" applyBorder="1" applyAlignment="1">
      <alignment horizontal="center" vertical="center"/>
    </xf>
    <xf numFmtId="0" fontId="14" fillId="0" borderId="5" xfId="2" applyFont="1" applyBorder="1" applyAlignment="1">
      <alignment horizontal="center" vertical="center"/>
    </xf>
    <xf numFmtId="0" fontId="14" fillId="0" borderId="14" xfId="2" applyFont="1" applyBorder="1" applyAlignment="1">
      <alignment horizontal="center" vertical="center" wrapText="1"/>
    </xf>
    <xf numFmtId="0" fontId="14" fillId="0" borderId="15" xfId="2" applyFont="1" applyBorder="1" applyAlignment="1">
      <alignment horizontal="center" vertical="center" wrapText="1"/>
    </xf>
    <xf numFmtId="0" fontId="14" fillId="0" borderId="15" xfId="2" applyFont="1" applyBorder="1" applyAlignment="1">
      <alignment horizontal="center" vertical="center"/>
    </xf>
    <xf numFmtId="0" fontId="14" fillId="0" borderId="16" xfId="2" applyFont="1" applyBorder="1" applyAlignment="1">
      <alignment horizontal="center" vertical="center"/>
    </xf>
    <xf numFmtId="0" fontId="14" fillId="0" borderId="30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29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1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14" fillId="2" borderId="7" xfId="2" applyFont="1" applyFill="1" applyBorder="1" applyAlignment="1">
      <alignment horizontal="center" vertical="center" wrapText="1"/>
    </xf>
    <xf numFmtId="0" fontId="14" fillId="2" borderId="6" xfId="2" applyFont="1" applyFill="1" applyBorder="1" applyAlignment="1">
      <alignment horizontal="center" vertical="center" wrapText="1"/>
    </xf>
    <xf numFmtId="0" fontId="14" fillId="2" borderId="6" xfId="2" applyFont="1" applyFill="1" applyBorder="1" applyAlignment="1">
      <alignment horizontal="center" vertical="center"/>
    </xf>
    <xf numFmtId="0" fontId="29" fillId="0" borderId="25" xfId="2" applyFont="1" applyBorder="1" applyAlignment="1">
      <alignment horizontal="center"/>
    </xf>
    <xf numFmtId="0" fontId="29" fillId="0" borderId="13" xfId="2" applyFont="1" applyBorder="1" applyAlignment="1">
      <alignment horizontal="center"/>
    </xf>
    <xf numFmtId="0" fontId="29" fillId="0" borderId="26" xfId="2" applyFont="1" applyBorder="1" applyAlignment="1">
      <alignment horizontal="center"/>
    </xf>
    <xf numFmtId="0" fontId="28" fillId="0" borderId="31" xfId="2" applyFont="1" applyBorder="1" applyAlignment="1">
      <alignment horizontal="center"/>
    </xf>
    <xf numFmtId="0" fontId="28" fillId="0" borderId="0" xfId="2" applyFont="1" applyAlignment="1">
      <alignment horizontal="center"/>
    </xf>
    <xf numFmtId="0" fontId="28" fillId="0" borderId="32" xfId="2" applyFont="1" applyBorder="1" applyAlignment="1">
      <alignment horizontal="center"/>
    </xf>
    <xf numFmtId="0" fontId="15" fillId="0" borderId="13" xfId="1" applyFont="1" applyBorder="1" applyAlignment="1">
      <alignment horizontal="center" vertical="top"/>
    </xf>
    <xf numFmtId="0" fontId="13" fillId="0" borderId="2" xfId="0" applyFont="1" applyBorder="1" applyAlignment="1">
      <alignment horizontal="left" vertical="center"/>
    </xf>
    <xf numFmtId="0" fontId="13" fillId="0" borderId="1" xfId="5" applyFont="1" applyBorder="1" applyAlignment="1">
      <alignment horizontal="left" vertical="center"/>
    </xf>
    <xf numFmtId="0" fontId="14" fillId="2" borderId="8" xfId="2" applyFont="1" applyFill="1" applyBorder="1" applyAlignment="1">
      <alignment horizontal="center" vertical="center"/>
    </xf>
    <xf numFmtId="0" fontId="32" fillId="0" borderId="0" xfId="2" applyFont="1" applyAlignment="1">
      <alignment horizontal="center" vertical="center" wrapText="1"/>
    </xf>
    <xf numFmtId="14" fontId="13" fillId="0" borderId="1" xfId="0" applyNumberFormat="1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35" fillId="0" borderId="2" xfId="2" applyFont="1" applyBorder="1" applyAlignment="1">
      <alignment horizontal="left"/>
    </xf>
    <xf numFmtId="0" fontId="35" fillId="0" borderId="0" xfId="0" applyFont="1" applyAlignment="1">
      <alignment horizontal="left" vertical="center" wrapText="1"/>
    </xf>
    <xf numFmtId="0" fontId="33" fillId="0" borderId="0" xfId="1" applyFont="1" applyAlignment="1">
      <alignment horizontal="center" vertical="center"/>
    </xf>
    <xf numFmtId="167" fontId="35" fillId="0" borderId="2" xfId="2" applyNumberFormat="1" applyFont="1" applyBorder="1" applyAlignment="1">
      <alignment horizontal="center"/>
    </xf>
    <xf numFmtId="0" fontId="35" fillId="0" borderId="0" xfId="0" applyFont="1" applyAlignment="1">
      <alignment horizontal="center" vertical="center" wrapText="1"/>
    </xf>
    <xf numFmtId="0" fontId="30" fillId="0" borderId="2" xfId="0" applyFont="1" applyBorder="1" applyAlignment="1">
      <alignment horizontal="center" vertical="center" wrapText="1"/>
    </xf>
    <xf numFmtId="0" fontId="30" fillId="0" borderId="29" xfId="0" applyFont="1" applyBorder="1" applyAlignment="1">
      <alignment horizontal="center" vertical="center" wrapText="1"/>
    </xf>
    <xf numFmtId="0" fontId="30" fillId="0" borderId="35" xfId="0" applyFont="1" applyBorder="1" applyAlignment="1">
      <alignment horizontal="left" vertical="center"/>
    </xf>
    <xf numFmtId="0" fontId="40" fillId="0" borderId="1" xfId="0" applyFont="1" applyBorder="1" applyAlignment="1">
      <alignment horizontal="center" vertical="center" wrapText="1"/>
    </xf>
    <xf numFmtId="0" fontId="34" fillId="0" borderId="4" xfId="0" quotePrefix="1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41" fillId="0" borderId="2" xfId="0" applyFont="1" applyBorder="1" applyAlignment="1">
      <alignment horizontal="left" vertical="center" wrapText="1"/>
    </xf>
    <xf numFmtId="167" fontId="41" fillId="0" borderId="2" xfId="0" applyNumberFormat="1" applyFont="1" applyBorder="1" applyAlignment="1">
      <alignment horizontal="center" vertical="center" wrapText="1"/>
    </xf>
    <xf numFmtId="0" fontId="33" fillId="0" borderId="0" xfId="5" applyFont="1" applyAlignment="1">
      <alignment horizontal="left" vertical="center"/>
    </xf>
    <xf numFmtId="0" fontId="33" fillId="0" borderId="0" xfId="5" applyFont="1" applyAlignment="1">
      <alignment horizontal="center" vertical="center"/>
    </xf>
    <xf numFmtId="0" fontId="34" fillId="0" borderId="7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 wrapText="1"/>
    </xf>
    <xf numFmtId="0" fontId="34" fillId="0" borderId="37" xfId="0" applyFont="1" applyBorder="1" applyAlignment="1">
      <alignment horizontal="center" vertical="center" wrapText="1"/>
    </xf>
    <xf numFmtId="0" fontId="34" fillId="0" borderId="38" xfId="0" applyFont="1" applyBorder="1" applyAlignment="1">
      <alignment horizontal="center" vertical="center" wrapText="1"/>
    </xf>
    <xf numFmtId="0" fontId="30" fillId="0" borderId="0" xfId="0" applyFont="1" applyAlignment="1">
      <alignment horizontal="left" vertical="center"/>
    </xf>
    <xf numFmtId="0" fontId="40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38" fillId="0" borderId="13" xfId="0" applyFont="1" applyBorder="1" applyAlignment="1">
      <alignment horizontal="center" vertical="center"/>
    </xf>
    <xf numFmtId="0" fontId="38" fillId="0" borderId="26" xfId="0" applyFont="1" applyBorder="1" applyAlignment="1">
      <alignment horizontal="center" vertical="center"/>
    </xf>
    <xf numFmtId="0" fontId="33" fillId="0" borderId="0" xfId="0" applyFont="1" applyAlignment="1">
      <alignment horizontal="center"/>
    </xf>
    <xf numFmtId="0" fontId="33" fillId="0" borderId="32" xfId="0" applyFont="1" applyBorder="1" applyAlignment="1">
      <alignment horizontal="center"/>
    </xf>
    <xf numFmtId="0" fontId="31" fillId="0" borderId="32" xfId="0" applyFont="1" applyBorder="1" applyAlignment="1">
      <alignment horizontal="center"/>
    </xf>
    <xf numFmtId="0" fontId="45" fillId="0" borderId="25" xfId="7" applyFont="1" applyBorder="1" applyAlignment="1">
      <alignment horizontal="center"/>
    </xf>
    <xf numFmtId="0" fontId="45" fillId="0" borderId="13" xfId="7" applyFont="1" applyBorder="1" applyAlignment="1">
      <alignment horizontal="center"/>
    </xf>
    <xf numFmtId="0" fontId="45" fillId="0" borderId="26" xfId="7" applyFont="1" applyBorder="1" applyAlignment="1">
      <alignment horizontal="center"/>
    </xf>
    <xf numFmtId="0" fontId="8" fillId="0" borderId="0" xfId="7"/>
    <xf numFmtId="0" fontId="8" fillId="3" borderId="0" xfId="7" applyFill="1"/>
    <xf numFmtId="0" fontId="46" fillId="0" borderId="31" xfId="7" applyFont="1" applyBorder="1" applyAlignment="1">
      <alignment horizontal="center" vertical="center"/>
    </xf>
    <xf numFmtId="0" fontId="46" fillId="0" borderId="0" xfId="7" applyFont="1" applyAlignment="1">
      <alignment horizontal="center" vertical="center"/>
    </xf>
    <xf numFmtId="0" fontId="46" fillId="0" borderId="32" xfId="7" applyFont="1" applyBorder="1" applyAlignment="1">
      <alignment horizontal="center" vertical="center"/>
    </xf>
    <xf numFmtId="0" fontId="47" fillId="0" borderId="31" xfId="7" applyFont="1" applyBorder="1" applyAlignment="1">
      <alignment horizontal="center" vertical="center"/>
    </xf>
    <xf numFmtId="0" fontId="47" fillId="0" borderId="0" xfId="7" applyFont="1" applyAlignment="1">
      <alignment horizontal="center" vertical="center"/>
    </xf>
    <xf numFmtId="0" fontId="47" fillId="0" borderId="32" xfId="7" applyFont="1" applyBorder="1" applyAlignment="1">
      <alignment horizontal="center" vertical="center"/>
    </xf>
    <xf numFmtId="0" fontId="8" fillId="0" borderId="27" xfId="7" applyBorder="1" applyAlignment="1">
      <alignment horizontal="center"/>
    </xf>
    <xf numFmtId="0" fontId="8" fillId="0" borderId="1" xfId="7" applyBorder="1" applyAlignment="1">
      <alignment horizontal="center"/>
    </xf>
    <xf numFmtId="0" fontId="8" fillId="0" borderId="28" xfId="7" applyBorder="1" applyAlignment="1">
      <alignment horizontal="center"/>
    </xf>
    <xf numFmtId="0" fontId="27" fillId="0" borderId="31" xfId="7" applyFont="1" applyBorder="1" applyAlignment="1">
      <alignment horizontal="left"/>
    </xf>
    <xf numFmtId="0" fontId="48" fillId="0" borderId="2" xfId="7" applyFont="1" applyBorder="1" applyAlignment="1">
      <alignment horizontal="left" vertical="center"/>
    </xf>
    <xf numFmtId="0" fontId="48" fillId="0" borderId="0" xfId="7" applyFont="1" applyAlignment="1">
      <alignment vertical="center"/>
    </xf>
    <xf numFmtId="0" fontId="27" fillId="0" borderId="32" xfId="7" quotePrefix="1" applyFont="1" applyBorder="1" applyAlignment="1">
      <alignment horizontal="left" vertical="center"/>
    </xf>
    <xf numFmtId="0" fontId="49" fillId="0" borderId="31" xfId="7" applyFont="1" applyBorder="1" applyAlignment="1">
      <alignment horizontal="left" vertical="center"/>
    </xf>
    <xf numFmtId="0" fontId="50" fillId="0" borderId="0" xfId="7" applyFont="1" applyAlignment="1">
      <alignment vertical="center"/>
    </xf>
    <xf numFmtId="0" fontId="48" fillId="0" borderId="1" xfId="7" applyFont="1" applyBorder="1" applyAlignment="1">
      <alignment horizontal="left" vertical="center"/>
    </xf>
    <xf numFmtId="0" fontId="27" fillId="0" borderId="32" xfId="7" applyFont="1" applyBorder="1" applyAlignment="1">
      <alignment vertical="center"/>
    </xf>
    <xf numFmtId="0" fontId="51" fillId="0" borderId="30" xfId="7" applyFont="1" applyBorder="1" applyAlignment="1">
      <alignment horizontal="center" vertical="center"/>
    </xf>
    <xf numFmtId="0" fontId="51" fillId="0" borderId="2" xfId="7" applyFont="1" applyBorder="1" applyAlignment="1">
      <alignment horizontal="center" vertical="center"/>
    </xf>
    <xf numFmtId="0" fontId="51" fillId="0" borderId="29" xfId="7" applyFont="1" applyBorder="1" applyAlignment="1">
      <alignment horizontal="center" vertical="center"/>
    </xf>
    <xf numFmtId="0" fontId="51" fillId="0" borderId="31" xfId="7" applyFont="1" applyBorder="1" applyAlignment="1">
      <alignment horizontal="center" vertical="center"/>
    </xf>
    <xf numFmtId="0" fontId="51" fillId="0" borderId="0" xfId="7" applyFont="1" applyAlignment="1">
      <alignment horizontal="center" vertical="center"/>
    </xf>
    <xf numFmtId="0" fontId="51" fillId="0" borderId="32" xfId="7" applyFont="1" applyBorder="1" applyAlignment="1">
      <alignment horizontal="center" vertical="center"/>
    </xf>
    <xf numFmtId="0" fontId="52" fillId="0" borderId="31" xfId="7" applyFont="1" applyBorder="1" applyAlignment="1">
      <alignment horizontal="center" vertical="center"/>
    </xf>
    <xf numFmtId="0" fontId="52" fillId="0" borderId="0" xfId="7" quotePrefix="1" applyFont="1" applyAlignment="1">
      <alignment horizontal="center" vertical="center"/>
    </xf>
    <xf numFmtId="0" fontId="53" fillId="0" borderId="32" xfId="7" quotePrefix="1" applyFont="1" applyBorder="1" applyAlignment="1">
      <alignment horizontal="center" vertical="center"/>
    </xf>
    <xf numFmtId="0" fontId="53" fillId="0" borderId="31" xfId="7" applyFont="1" applyBorder="1" applyAlignment="1">
      <alignment vertical="center"/>
    </xf>
    <xf numFmtId="0" fontId="54" fillId="0" borderId="0" xfId="7" applyFont="1" applyAlignment="1">
      <alignment horizontal="left" vertical="center"/>
    </xf>
    <xf numFmtId="0" fontId="27" fillId="0" borderId="31" xfId="7" quotePrefix="1" applyFont="1" applyBorder="1" applyAlignment="1">
      <alignment vertical="center"/>
    </xf>
    <xf numFmtId="0" fontId="55" fillId="0" borderId="0" xfId="7" applyFont="1" applyAlignment="1">
      <alignment horizontal="left" vertical="center"/>
    </xf>
    <xf numFmtId="0" fontId="8" fillId="0" borderId="32" xfId="7" applyBorder="1" applyAlignment="1">
      <alignment vertical="center"/>
    </xf>
    <xf numFmtId="0" fontId="8" fillId="0" borderId="0" xfId="7" applyAlignment="1">
      <alignment vertical="center"/>
    </xf>
    <xf numFmtId="0" fontId="54" fillId="0" borderId="0" xfId="7" applyFont="1" applyAlignment="1">
      <alignment horizontal="left" vertical="center"/>
    </xf>
    <xf numFmtId="0" fontId="54" fillId="0" borderId="0" xfId="7" applyFont="1" applyAlignment="1">
      <alignment horizontal="center" vertical="center"/>
    </xf>
    <xf numFmtId="0" fontId="56" fillId="0" borderId="0" xfId="7" applyFont="1" applyAlignment="1">
      <alignment horizontal="left" vertical="center" wrapText="1"/>
    </xf>
    <xf numFmtId="0" fontId="54" fillId="0" borderId="0" xfId="7" applyFont="1" applyAlignment="1">
      <alignment vertical="center"/>
    </xf>
    <xf numFmtId="0" fontId="8" fillId="0" borderId="31" xfId="7" applyBorder="1"/>
    <xf numFmtId="0" fontId="57" fillId="0" borderId="0" xfId="7" applyFont="1" applyAlignment="1">
      <alignment horizontal="left"/>
    </xf>
    <xf numFmtId="0" fontId="27" fillId="0" borderId="0" xfId="7" applyFont="1"/>
    <xf numFmtId="0" fontId="8" fillId="0" borderId="32" xfId="7" applyBorder="1"/>
    <xf numFmtId="0" fontId="58" fillId="0" borderId="15" xfId="7" quotePrefix="1" applyFont="1" applyBorder="1" applyAlignment="1">
      <alignment horizontal="center"/>
    </xf>
    <xf numFmtId="0" fontId="58" fillId="0" borderId="15" xfId="7" applyFont="1" applyBorder="1" applyAlignment="1">
      <alignment horizontal="center"/>
    </xf>
    <xf numFmtId="0" fontId="50" fillId="0" borderId="32" xfId="7" applyFont="1" applyBorder="1" applyAlignment="1">
      <alignment horizontal="center" vertical="center"/>
    </xf>
    <xf numFmtId="0" fontId="52" fillId="0" borderId="41" xfId="7" applyFont="1" applyBorder="1" applyAlignment="1">
      <alignment horizontal="center" vertical="top"/>
    </xf>
    <xf numFmtId="0" fontId="27" fillId="0" borderId="32" xfId="7" applyFont="1" applyBorder="1" applyAlignment="1">
      <alignment horizontal="center" vertical="center"/>
    </xf>
    <xf numFmtId="165" fontId="52" fillId="0" borderId="41" xfId="7" applyNumberFormat="1" applyFont="1" applyBorder="1" applyAlignment="1">
      <alignment horizontal="center" vertical="center"/>
    </xf>
    <xf numFmtId="164" fontId="52" fillId="0" borderId="41" xfId="7" applyNumberFormat="1" applyFont="1" applyBorder="1" applyAlignment="1">
      <alignment horizontal="center" vertical="center"/>
    </xf>
    <xf numFmtId="0" fontId="59" fillId="4" borderId="42" xfId="7" applyFont="1" applyFill="1" applyBorder="1" applyAlignment="1">
      <alignment horizontal="center" vertical="center"/>
    </xf>
    <xf numFmtId="0" fontId="60" fillId="0" borderId="0" xfId="7" applyFont="1"/>
    <xf numFmtId="0" fontId="61" fillId="0" borderId="0" xfId="7" applyFont="1"/>
    <xf numFmtId="0" fontId="52" fillId="0" borderId="42" xfId="7" applyFont="1" applyBorder="1" applyAlignment="1">
      <alignment horizontal="center" vertical="center"/>
    </xf>
    <xf numFmtId="165" fontId="52" fillId="0" borderId="42" xfId="7" applyNumberFormat="1" applyFont="1" applyBorder="1" applyAlignment="1">
      <alignment horizontal="center" vertical="center"/>
    </xf>
    <xf numFmtId="1" fontId="52" fillId="0" borderId="42" xfId="7" applyNumberFormat="1" applyFont="1" applyBorder="1" applyAlignment="1">
      <alignment horizontal="center" vertical="center"/>
    </xf>
    <xf numFmtId="1" fontId="27" fillId="0" borderId="32" xfId="7" applyNumberFormat="1" applyFont="1" applyBorder="1" applyAlignment="1">
      <alignment horizontal="center" vertical="center"/>
    </xf>
    <xf numFmtId="0" fontId="62" fillId="3" borderId="0" xfId="7" applyFont="1" applyFill="1"/>
    <xf numFmtId="0" fontId="27" fillId="0" borderId="31" xfId="7" applyFont="1" applyBorder="1"/>
    <xf numFmtId="0" fontId="27" fillId="0" borderId="30" xfId="7" applyFont="1" applyBorder="1"/>
    <xf numFmtId="0" fontId="63" fillId="0" borderId="2" xfId="7" applyFont="1" applyBorder="1" applyAlignment="1">
      <alignment horizontal="center"/>
    </xf>
    <xf numFmtId="0" fontId="8" fillId="0" borderId="29" xfId="7" applyBorder="1"/>
    <xf numFmtId="0" fontId="53" fillId="0" borderId="0" xfId="7" quotePrefix="1" applyFont="1" applyAlignment="1">
      <alignment horizontal="left"/>
    </xf>
    <xf numFmtId="0" fontId="27" fillId="0" borderId="0" xfId="7" quotePrefix="1" applyFont="1" applyAlignment="1">
      <alignment horizontal="right"/>
    </xf>
    <xf numFmtId="0" fontId="27" fillId="0" borderId="0" xfId="7" applyFont="1" applyAlignment="1">
      <alignment horizontal="right"/>
    </xf>
    <xf numFmtId="9" fontId="27" fillId="0" borderId="0" xfId="7" quotePrefix="1" applyNumberFormat="1" applyFont="1" applyAlignment="1">
      <alignment horizontal="center"/>
    </xf>
    <xf numFmtId="0" fontId="52" fillId="0" borderId="42" xfId="7" applyFont="1" applyBorder="1" applyAlignment="1">
      <alignment horizontal="left" vertical="center"/>
    </xf>
    <xf numFmtId="164" fontId="64" fillId="0" borderId="42" xfId="7" applyNumberFormat="1" applyFont="1" applyBorder="1" applyAlignment="1">
      <alignment horizontal="center" vertical="center"/>
    </xf>
    <xf numFmtId="0" fontId="64" fillId="0" borderId="10" xfId="7" applyFont="1" applyBorder="1" applyAlignment="1">
      <alignment horizontal="left" vertical="center"/>
    </xf>
    <xf numFmtId="0" fontId="64" fillId="0" borderId="11" xfId="7" applyFont="1" applyBorder="1" applyAlignment="1">
      <alignment horizontal="left" vertical="center"/>
    </xf>
    <xf numFmtId="0" fontId="64" fillId="0" borderId="12" xfId="7" applyFont="1" applyBorder="1" applyAlignment="1">
      <alignment horizontal="left" vertical="center"/>
    </xf>
    <xf numFmtId="2" fontId="64" fillId="0" borderId="42" xfId="7" applyNumberFormat="1" applyFont="1" applyBorder="1" applyAlignment="1">
      <alignment horizontal="center" vertical="center"/>
    </xf>
    <xf numFmtId="165" fontId="64" fillId="0" borderId="42" xfId="7" applyNumberFormat="1" applyFont="1" applyBorder="1" applyAlignment="1">
      <alignment horizontal="center" vertical="center"/>
    </xf>
    <xf numFmtId="0" fontId="27" fillId="0" borderId="0" xfId="8" applyFont="1"/>
    <xf numFmtId="0" fontId="27" fillId="0" borderId="0" xfId="7" applyFont="1" applyAlignment="1">
      <alignment horizontal="left" vertical="center"/>
    </xf>
    <xf numFmtId="0" fontId="27" fillId="0" borderId="0" xfId="7" applyFont="1" applyAlignment="1">
      <alignment vertical="center"/>
    </xf>
    <xf numFmtId="165" fontId="27" fillId="0" borderId="0" xfId="8" applyNumberFormat="1" applyFont="1" applyAlignment="1">
      <alignment horizontal="center"/>
    </xf>
    <xf numFmtId="166" fontId="27" fillId="0" borderId="27" xfId="7" applyNumberFormat="1" applyFont="1" applyBorder="1" applyAlignment="1">
      <alignment vertical="top"/>
    </xf>
    <xf numFmtId="0" fontId="8" fillId="0" borderId="1" xfId="7" applyBorder="1" applyAlignment="1">
      <alignment horizontal="center" vertical="center"/>
    </xf>
    <xf numFmtId="0" fontId="27" fillId="0" borderId="1" xfId="7" applyFont="1" applyBorder="1"/>
    <xf numFmtId="0" fontId="8" fillId="0" borderId="1" xfId="7" applyBorder="1"/>
    <xf numFmtId="0" fontId="8" fillId="0" borderId="2" xfId="7" applyBorder="1"/>
    <xf numFmtId="0" fontId="27" fillId="0" borderId="2" xfId="7" applyFont="1" applyBorder="1"/>
    <xf numFmtId="0" fontId="27" fillId="0" borderId="29" xfId="7" applyFont="1" applyBorder="1"/>
    <xf numFmtId="0" fontId="67" fillId="0" borderId="0" xfId="7" applyFont="1" applyAlignment="1">
      <alignment vertical="center"/>
    </xf>
    <xf numFmtId="0" fontId="8" fillId="0" borderId="33" xfId="7" applyBorder="1"/>
    <xf numFmtId="0" fontId="8" fillId="0" borderId="35" xfId="7" applyBorder="1"/>
    <xf numFmtId="0" fontId="68" fillId="0" borderId="35" xfId="7" applyFont="1" applyBorder="1" applyAlignment="1">
      <alignment horizontal="center" vertical="center"/>
    </xf>
    <xf numFmtId="0" fontId="8" fillId="0" borderId="34" xfId="7" applyBorder="1"/>
    <xf numFmtId="0" fontId="48" fillId="0" borderId="2" xfId="7" applyFont="1" applyBorder="1" applyAlignment="1">
      <alignment vertical="center"/>
    </xf>
    <xf numFmtId="0" fontId="48" fillId="0" borderId="29" xfId="7" applyFont="1" applyBorder="1" applyAlignment="1">
      <alignment vertical="center"/>
    </xf>
    <xf numFmtId="0" fontId="48" fillId="0" borderId="1" xfId="7" applyFont="1" applyBorder="1" applyAlignment="1">
      <alignment vertical="center"/>
    </xf>
    <xf numFmtId="0" fontId="48" fillId="0" borderId="28" xfId="7" applyFont="1" applyBorder="1" applyAlignment="1">
      <alignment vertical="center"/>
    </xf>
    <xf numFmtId="0" fontId="69" fillId="0" borderId="42" xfId="7" applyFont="1" applyBorder="1" applyAlignment="1">
      <alignment horizontal="center" vertical="center"/>
    </xf>
    <xf numFmtId="0" fontId="70" fillId="0" borderId="42" xfId="7" applyFont="1" applyBorder="1" applyAlignment="1">
      <alignment horizontal="center" vertical="center"/>
    </xf>
    <xf numFmtId="0" fontId="72" fillId="0" borderId="0" xfId="7" applyFont="1"/>
    <xf numFmtId="0" fontId="73" fillId="0" borderId="0" xfId="7" applyFont="1"/>
    <xf numFmtId="0" fontId="8" fillId="0" borderId="0" xfId="8"/>
    <xf numFmtId="0" fontId="58" fillId="0" borderId="42" xfId="7" applyFont="1" applyBorder="1" applyAlignment="1">
      <alignment horizontal="center"/>
    </xf>
    <xf numFmtId="0" fontId="52" fillId="0" borderId="42" xfId="7" applyFont="1" applyBorder="1" applyAlignment="1">
      <alignment horizontal="center" vertical="top"/>
    </xf>
    <xf numFmtId="164" fontId="52" fillId="0" borderId="42" xfId="7" applyNumberFormat="1" applyFont="1" applyBorder="1" applyAlignment="1">
      <alignment horizontal="center" vertical="center"/>
    </xf>
    <xf numFmtId="0" fontId="8" fillId="0" borderId="0" xfId="7" applyFont="1" applyAlignment="1">
      <alignment vertical="center"/>
    </xf>
    <xf numFmtId="0" fontId="8" fillId="0" borderId="0" xfId="7" applyFont="1"/>
    <xf numFmtId="0" fontId="8" fillId="0" borderId="0" xfId="8" applyFont="1"/>
    <xf numFmtId="0" fontId="8" fillId="3" borderId="0" xfId="7" applyFont="1" applyFill="1"/>
    <xf numFmtId="0" fontId="8" fillId="3" borderId="0" xfId="7" applyFont="1" applyFill="1" applyAlignment="1">
      <alignment vertical="center"/>
    </xf>
    <xf numFmtId="0" fontId="48" fillId="0" borderId="0" xfId="7" applyFont="1" applyAlignment="1">
      <alignment horizontal="left" vertical="center"/>
    </xf>
    <xf numFmtId="0" fontId="27" fillId="0" borderId="0" xfId="7" applyFont="1" applyBorder="1" applyAlignment="1">
      <alignment horizontal="center" vertical="center"/>
    </xf>
    <xf numFmtId="1" fontId="27" fillId="0" borderId="0" xfId="7" applyNumberFormat="1" applyFont="1" applyBorder="1" applyAlignment="1">
      <alignment horizontal="center" vertical="center"/>
    </xf>
    <xf numFmtId="0" fontId="54" fillId="0" borderId="0" xfId="7" applyFont="1" applyAlignment="1">
      <alignment horizontal="center" vertical="center"/>
    </xf>
    <xf numFmtId="167" fontId="54" fillId="0" borderId="0" xfId="7" applyNumberFormat="1" applyFont="1" applyAlignment="1">
      <alignment horizontal="center" vertical="center"/>
    </xf>
    <xf numFmtId="0" fontId="55" fillId="0" borderId="0" xfId="7" applyFont="1" applyAlignment="1">
      <alignment vertical="center"/>
    </xf>
    <xf numFmtId="0" fontId="56" fillId="0" borderId="0" xfId="7" applyFont="1" applyAlignment="1">
      <alignment vertical="center" wrapText="1"/>
    </xf>
    <xf numFmtId="167" fontId="54" fillId="0" borderId="32" xfId="7" applyNumberFormat="1" applyFont="1" applyBorder="1" applyAlignment="1">
      <alignment horizontal="center" vertical="center"/>
    </xf>
    <xf numFmtId="0" fontId="47" fillId="0" borderId="27" xfId="7" applyFont="1" applyBorder="1" applyAlignment="1">
      <alignment horizontal="center" vertical="center"/>
    </xf>
    <xf numFmtId="0" fontId="47" fillId="0" borderId="1" xfId="7" applyFont="1" applyBorder="1" applyAlignment="1">
      <alignment horizontal="center" vertical="center"/>
    </xf>
    <xf numFmtId="0" fontId="47" fillId="0" borderId="28" xfId="7" applyFont="1" applyBorder="1" applyAlignment="1">
      <alignment horizontal="center" vertical="center"/>
    </xf>
    <xf numFmtId="0" fontId="74" fillId="0" borderId="2" xfId="7" applyFont="1" applyBorder="1" applyAlignment="1">
      <alignment horizontal="left" vertical="center"/>
    </xf>
    <xf numFmtId="0" fontId="74" fillId="0" borderId="1" xfId="7" applyFont="1" applyBorder="1" applyAlignment="1">
      <alignment horizontal="left" vertical="center"/>
    </xf>
    <xf numFmtId="0" fontId="76" fillId="0" borderId="30" xfId="7" applyFont="1" applyBorder="1" applyAlignment="1">
      <alignment horizontal="center" vertical="center"/>
    </xf>
    <xf numFmtId="0" fontId="76" fillId="0" borderId="2" xfId="7" applyFont="1" applyBorder="1" applyAlignment="1">
      <alignment horizontal="center" vertical="center"/>
    </xf>
    <xf numFmtId="0" fontId="76" fillId="0" borderId="29" xfId="7" applyFont="1" applyBorder="1" applyAlignment="1">
      <alignment horizontal="center" vertical="center"/>
    </xf>
    <xf numFmtId="0" fontId="76" fillId="0" borderId="31" xfId="7" applyFont="1" applyBorder="1" applyAlignment="1">
      <alignment horizontal="center" vertical="center"/>
    </xf>
    <xf numFmtId="0" fontId="76" fillId="0" borderId="0" xfId="7" applyFont="1" applyAlignment="1">
      <alignment horizontal="center" vertical="center"/>
    </xf>
    <xf numFmtId="0" fontId="76" fillId="0" borderId="32" xfId="7" applyFont="1" applyBorder="1" applyAlignment="1">
      <alignment horizontal="center" vertical="center"/>
    </xf>
    <xf numFmtId="0" fontId="76" fillId="0" borderId="27" xfId="7" applyFont="1" applyBorder="1" applyAlignment="1">
      <alignment horizontal="center" vertical="center"/>
    </xf>
    <xf numFmtId="0" fontId="76" fillId="0" borderId="1" xfId="7" applyFont="1" applyBorder="1" applyAlignment="1">
      <alignment horizontal="center" vertical="center"/>
    </xf>
    <xf numFmtId="0" fontId="76" fillId="0" borderId="28" xfId="7" applyFont="1" applyBorder="1" applyAlignment="1">
      <alignment horizontal="center" vertical="center"/>
    </xf>
    <xf numFmtId="0" fontId="76" fillId="0" borderId="47" xfId="7" applyFont="1" applyBorder="1" applyAlignment="1">
      <alignment horizontal="center" vertical="center"/>
    </xf>
    <xf numFmtId="0" fontId="76" fillId="0" borderId="48" xfId="7" applyFont="1" applyBorder="1" applyAlignment="1">
      <alignment horizontal="center" vertical="center"/>
    </xf>
    <xf numFmtId="0" fontId="76" fillId="0" borderId="49" xfId="7" applyFont="1" applyBorder="1" applyAlignment="1">
      <alignment horizontal="center" vertical="center"/>
    </xf>
    <xf numFmtId="0" fontId="76" fillId="0" borderId="50" xfId="7" applyFont="1" applyBorder="1" applyAlignment="1">
      <alignment horizontal="center" vertical="center"/>
    </xf>
    <xf numFmtId="0" fontId="76" fillId="0" borderId="48" xfId="7" applyFont="1" applyBorder="1" applyAlignment="1">
      <alignment horizontal="center" vertical="center"/>
    </xf>
    <xf numFmtId="0" fontId="76" fillId="0" borderId="51" xfId="7" applyFont="1" applyBorder="1" applyAlignment="1">
      <alignment horizontal="center" vertical="center"/>
    </xf>
    <xf numFmtId="0" fontId="8" fillId="0" borderId="43" xfId="7" applyBorder="1" applyAlignment="1">
      <alignment horizontal="center" vertical="center" wrapText="1"/>
    </xf>
    <xf numFmtId="0" fontId="27" fillId="0" borderId="32" xfId="7" quotePrefix="1" applyFont="1" applyBorder="1" applyAlignment="1">
      <alignment vertical="center"/>
    </xf>
    <xf numFmtId="0" fontId="67" fillId="0" borderId="52" xfId="7" applyFont="1" applyBorder="1" applyAlignment="1">
      <alignment horizontal="center" vertical="center"/>
    </xf>
    <xf numFmtId="0" fontId="67" fillId="0" borderId="41" xfId="7" applyFont="1" applyBorder="1" applyAlignment="1">
      <alignment horizontal="center" vertical="center"/>
    </xf>
    <xf numFmtId="0" fontId="67" fillId="0" borderId="53" xfId="7" applyFont="1" applyBorder="1" applyAlignment="1">
      <alignment horizontal="center" vertical="center"/>
    </xf>
    <xf numFmtId="165" fontId="79" fillId="0" borderId="54" xfId="7" applyNumberFormat="1" applyFont="1" applyBorder="1" applyAlignment="1">
      <alignment horizontal="center" vertical="center"/>
    </xf>
    <xf numFmtId="165" fontId="79" fillId="0" borderId="41" xfId="7" applyNumberFormat="1" applyFont="1" applyBorder="1" applyAlignment="1">
      <alignment horizontal="center" vertical="center"/>
    </xf>
    <xf numFmtId="165" fontId="79" fillId="0" borderId="55" xfId="7" applyNumberFormat="1" applyFont="1" applyBorder="1" applyAlignment="1">
      <alignment horizontal="center" vertical="center"/>
    </xf>
    <xf numFmtId="0" fontId="8" fillId="0" borderId="56" xfId="7" applyBorder="1" applyAlignment="1">
      <alignment horizontal="center" vertical="center"/>
    </xf>
    <xf numFmtId="0" fontId="67" fillId="0" borderId="57" xfId="7" applyFont="1" applyBorder="1" applyAlignment="1">
      <alignment horizontal="center" vertical="center"/>
    </xf>
    <xf numFmtId="0" fontId="67" fillId="0" borderId="42" xfId="7" applyFont="1" applyBorder="1" applyAlignment="1">
      <alignment horizontal="center" vertical="center"/>
    </xf>
    <xf numFmtId="0" fontId="67" fillId="0" borderId="58" xfId="7" applyFont="1" applyBorder="1" applyAlignment="1">
      <alignment horizontal="center" vertical="center"/>
    </xf>
    <xf numFmtId="164" fontId="75" fillId="0" borderId="12" xfId="7" applyNumberFormat="1" applyFont="1" applyBorder="1" applyAlignment="1">
      <alignment horizontal="center" vertical="center"/>
    </xf>
    <xf numFmtId="164" fontId="75" fillId="0" borderId="42" xfId="7" applyNumberFormat="1" applyFont="1" applyBorder="1" applyAlignment="1">
      <alignment horizontal="center" vertical="center"/>
    </xf>
    <xf numFmtId="164" fontId="75" fillId="0" borderId="10" xfId="7" applyNumberFormat="1" applyFont="1" applyBorder="1" applyAlignment="1">
      <alignment horizontal="center" vertical="center"/>
    </xf>
    <xf numFmtId="0" fontId="8" fillId="0" borderId="59" xfId="7" applyBorder="1" applyAlignment="1">
      <alignment horizontal="center" vertical="center"/>
    </xf>
    <xf numFmtId="0" fontId="67" fillId="0" borderId="60" xfId="7" applyFont="1" applyBorder="1" applyAlignment="1">
      <alignment horizontal="center" vertical="center"/>
    </xf>
    <xf numFmtId="0" fontId="67" fillId="0" borderId="61" xfId="7" applyFont="1" applyBorder="1" applyAlignment="1">
      <alignment horizontal="center" vertical="center"/>
    </xf>
    <xf numFmtId="0" fontId="67" fillId="0" borderId="62" xfId="7" applyFont="1" applyBorder="1" applyAlignment="1">
      <alignment horizontal="center" vertical="center"/>
    </xf>
    <xf numFmtId="2" fontId="75" fillId="0" borderId="63" xfId="7" applyNumberFormat="1" applyFont="1" applyBorder="1" applyAlignment="1">
      <alignment horizontal="center" vertical="center"/>
    </xf>
    <xf numFmtId="2" fontId="75" fillId="0" borderId="61" xfId="7" applyNumberFormat="1" applyFont="1" applyBorder="1" applyAlignment="1">
      <alignment horizontal="center" vertical="center"/>
    </xf>
    <xf numFmtId="2" fontId="75" fillId="0" borderId="64" xfId="7" applyNumberFormat="1" applyFont="1" applyBorder="1" applyAlignment="1">
      <alignment horizontal="center" vertical="center"/>
    </xf>
    <xf numFmtId="0" fontId="8" fillId="0" borderId="46" xfId="7" applyBorder="1" applyAlignment="1">
      <alignment horizontal="center" vertical="center"/>
    </xf>
    <xf numFmtId="165" fontId="27" fillId="0" borderId="0" xfId="7" applyNumberFormat="1" applyFont="1" applyAlignment="1">
      <alignment horizontal="center" vertical="center"/>
    </xf>
    <xf numFmtId="0" fontId="27" fillId="0" borderId="0" xfId="7" applyFont="1" applyAlignment="1">
      <alignment horizontal="center" vertical="center"/>
    </xf>
    <xf numFmtId="0" fontId="27" fillId="0" borderId="0" xfId="7" applyFont="1" applyAlignment="1">
      <alignment horizontal="center" vertical="center"/>
    </xf>
    <xf numFmtId="165" fontId="8" fillId="0" borderId="0" xfId="7" applyNumberFormat="1"/>
    <xf numFmtId="1" fontId="8" fillId="0" borderId="0" xfId="7" applyNumberFormat="1"/>
    <xf numFmtId="0" fontId="45" fillId="0" borderId="2" xfId="7" applyFont="1" applyBorder="1" applyAlignment="1">
      <alignment horizontal="center"/>
    </xf>
    <xf numFmtId="0" fontId="45" fillId="0" borderId="2" xfId="7" applyFont="1" applyBorder="1" applyAlignment="1">
      <alignment horizontal="center"/>
    </xf>
    <xf numFmtId="0" fontId="67" fillId="0" borderId="47" xfId="7" applyFont="1" applyBorder="1" applyAlignment="1">
      <alignment horizontal="left" vertical="center"/>
    </xf>
    <xf numFmtId="0" fontId="67" fillId="0" borderId="48" xfId="7" applyFont="1" applyBorder="1" applyAlignment="1">
      <alignment horizontal="left" vertical="center"/>
    </xf>
    <xf numFmtId="0" fontId="67" fillId="0" borderId="51" xfId="7" applyFont="1" applyBorder="1" applyAlignment="1">
      <alignment horizontal="left" vertical="center"/>
    </xf>
    <xf numFmtId="165" fontId="75" fillId="0" borderId="43" xfId="7" applyNumberFormat="1" applyFont="1" applyBorder="1" applyAlignment="1">
      <alignment horizontal="center" vertical="center"/>
    </xf>
    <xf numFmtId="0" fontId="67" fillId="0" borderId="50" xfId="7" applyFont="1" applyBorder="1" applyAlignment="1">
      <alignment horizontal="center" vertical="center"/>
    </xf>
    <xf numFmtId="0" fontId="67" fillId="0" borderId="48" xfId="7" applyFont="1" applyBorder="1" applyAlignment="1">
      <alignment horizontal="center" vertical="center"/>
    </xf>
    <xf numFmtId="0" fontId="67" fillId="0" borderId="51" xfId="7" applyFont="1" applyBorder="1" applyAlignment="1">
      <alignment horizontal="center" vertical="center"/>
    </xf>
    <xf numFmtId="2" fontId="8" fillId="0" borderId="43" xfId="7" applyNumberFormat="1" applyBorder="1" applyAlignment="1">
      <alignment horizontal="center" vertical="center" wrapText="1"/>
    </xf>
    <xf numFmtId="0" fontId="75" fillId="0" borderId="65" xfId="7" applyFont="1" applyBorder="1" applyAlignment="1">
      <alignment horizontal="center" vertical="center"/>
    </xf>
    <xf numFmtId="0" fontId="75" fillId="0" borderId="66" xfId="7" applyFont="1" applyBorder="1" applyAlignment="1">
      <alignment horizontal="center" vertical="center"/>
    </xf>
    <xf numFmtId="0" fontId="75" fillId="0" borderId="67" xfId="7" applyFont="1" applyBorder="1" applyAlignment="1">
      <alignment horizontal="center" vertical="center"/>
    </xf>
    <xf numFmtId="1" fontId="8" fillId="0" borderId="45" xfId="7" applyNumberFormat="1" applyBorder="1" applyAlignment="1">
      <alignment horizontal="center" vertical="center"/>
    </xf>
    <xf numFmtId="0" fontId="75" fillId="0" borderId="60" xfId="7" applyFont="1" applyBorder="1" applyAlignment="1">
      <alignment horizontal="center" vertical="center"/>
    </xf>
    <xf numFmtId="0" fontId="75" fillId="0" borderId="61" xfId="7" applyFont="1" applyBorder="1" applyAlignment="1">
      <alignment horizontal="center" vertical="center"/>
    </xf>
    <xf numFmtId="0" fontId="75" fillId="0" borderId="62" xfId="7" applyFont="1" applyBorder="1" applyAlignment="1">
      <alignment horizontal="center" vertical="center"/>
    </xf>
    <xf numFmtId="0" fontId="8" fillId="0" borderId="46" xfId="7" applyBorder="1" applyAlignment="1">
      <alignment horizontal="center" vertical="center"/>
    </xf>
    <xf numFmtId="0" fontId="75" fillId="0" borderId="68" xfId="7" applyFont="1" applyBorder="1" applyAlignment="1">
      <alignment horizontal="center" vertical="center"/>
    </xf>
    <xf numFmtId="0" fontId="75" fillId="0" borderId="69" xfId="7" applyFont="1" applyBorder="1" applyAlignment="1">
      <alignment horizontal="center" vertical="center"/>
    </xf>
    <xf numFmtId="0" fontId="75" fillId="0" borderId="70" xfId="7" applyFont="1" applyBorder="1" applyAlignment="1">
      <alignment horizontal="center" vertical="center"/>
    </xf>
    <xf numFmtId="0" fontId="8" fillId="0" borderId="44" xfId="7" applyBorder="1" applyAlignment="1">
      <alignment horizontal="center" vertical="center"/>
    </xf>
    <xf numFmtId="0" fontId="6" fillId="0" borderId="31" xfId="7" applyFont="1" applyBorder="1" applyAlignment="1">
      <alignment horizontal="left"/>
    </xf>
    <xf numFmtId="0" fontId="6" fillId="0" borderId="0" xfId="7" applyFont="1" applyAlignment="1">
      <alignment vertical="center"/>
    </xf>
    <xf numFmtId="0" fontId="7" fillId="0" borderId="31" xfId="7" applyFont="1" applyBorder="1" applyAlignment="1">
      <alignment vertical="center" wrapText="1"/>
    </xf>
    <xf numFmtId="0" fontId="7" fillId="0" borderId="0" xfId="7" applyFont="1" applyAlignment="1">
      <alignment horizontal="left" vertical="center" wrapText="1"/>
    </xf>
    <xf numFmtId="0" fontId="7" fillId="0" borderId="32" xfId="7" applyFont="1" applyBorder="1" applyAlignment="1">
      <alignment vertical="center" wrapText="1"/>
    </xf>
    <xf numFmtId="0" fontId="7" fillId="0" borderId="0" xfId="7" applyFont="1" applyAlignment="1">
      <alignment vertical="center" wrapText="1"/>
    </xf>
    <xf numFmtId="0" fontId="63" fillId="0" borderId="31" xfId="7" applyFont="1" applyBorder="1" applyAlignment="1">
      <alignment vertical="center"/>
    </xf>
    <xf numFmtId="0" fontId="7" fillId="0" borderId="0" xfId="7" applyFont="1" applyAlignment="1">
      <alignment horizontal="left" vertical="center" wrapText="1"/>
    </xf>
    <xf numFmtId="0" fontId="7" fillId="0" borderId="32" xfId="7" applyFont="1" applyBorder="1" applyAlignment="1">
      <alignment horizontal="left" vertical="center" wrapText="1"/>
    </xf>
    <xf numFmtId="0" fontId="80" fillId="0" borderId="2" xfId="7" applyFont="1" applyBorder="1"/>
    <xf numFmtId="0" fontId="52" fillId="0" borderId="2" xfId="7" applyFont="1" applyBorder="1"/>
    <xf numFmtId="0" fontId="52" fillId="0" borderId="29" xfId="7" applyFont="1" applyBorder="1"/>
    <xf numFmtId="0" fontId="67" fillId="0" borderId="0" xfId="7" applyFont="1" applyAlignment="1">
      <alignment horizontal="left" vertical="center"/>
    </xf>
    <xf numFmtId="0" fontId="8" fillId="0" borderId="0" xfId="7" applyAlignment="1">
      <alignment horizontal="left"/>
    </xf>
    <xf numFmtId="0" fontId="8" fillId="0" borderId="32" xfId="7" applyBorder="1" applyAlignment="1">
      <alignment horizontal="left"/>
    </xf>
  </cellXfs>
  <cellStyles count="9">
    <cellStyle name="Normal" xfId="0" builtinId="0"/>
    <cellStyle name="Normal 13" xfId="6" xr:uid="{00000000-0005-0000-0000-000001000000}"/>
    <cellStyle name="Normal 2" xfId="5" xr:uid="{00000000-0005-0000-0000-000002000000}"/>
    <cellStyle name="Normal 2 2 2 2" xfId="8" xr:uid="{E50DA159-17B1-442B-A588-9DD7949C4F42}"/>
    <cellStyle name="Normal 2 4" xfId="4" xr:uid="{00000000-0005-0000-0000-000003000000}"/>
    <cellStyle name="Normal 3" xfId="1" xr:uid="{00000000-0005-0000-0000-000004000000}"/>
    <cellStyle name="Normal 5" xfId="2" xr:uid="{00000000-0005-0000-0000-000005000000}"/>
    <cellStyle name="Normal 5 2" xfId="7" xr:uid="{6EA9BF52-F283-4EA7-A060-977992F07457}"/>
    <cellStyle name="Normal 6" xfId="3" xr:uid="{00000000-0005-0000-0000-000006000000}"/>
  </cellStyles>
  <dxfs count="1">
    <dxf>
      <numFmt numFmtId="30" formatCode="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05717539336163"/>
          <c:y val="0.15219917174845227"/>
          <c:w val="0.84122200114951184"/>
          <c:h val="0.7390119803453119"/>
        </c:manualLayout>
      </c:layout>
      <c:scatterChart>
        <c:scatterStyle val="smoothMarker"/>
        <c:varyColors val="0"/>
        <c:ser>
          <c:idx val="0"/>
          <c:order val="0"/>
          <c:tx>
            <c:v>Tested sample</c:v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Report!$F$17:$P$17</c:f>
              <c:numCache>
                <c:formatCode>General</c:formatCode>
                <c:ptCount val="11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>
                  <c:v>37.5</c:v>
                </c:pt>
                <c:pt idx="4">
                  <c:v>25</c:v>
                </c:pt>
                <c:pt idx="5">
                  <c:v>19</c:v>
                </c:pt>
                <c:pt idx="6">
                  <c:v>9.5</c:v>
                </c:pt>
                <c:pt idx="7" formatCode="0.00">
                  <c:v>4.75</c:v>
                </c:pt>
                <c:pt idx="8" formatCode="0.00">
                  <c:v>2</c:v>
                </c:pt>
                <c:pt idx="9" formatCode="0.000">
                  <c:v>0.42499999999999999</c:v>
                </c:pt>
                <c:pt idx="10" formatCode="0.000">
                  <c:v>7.4999999999999997E-2</c:v>
                </c:pt>
              </c:numCache>
            </c:numRef>
          </c:xVal>
          <c:yVal>
            <c:numRef>
              <c:f>Report!$F$18:$P$18</c:f>
              <c:numCache>
                <c:formatCode>0.0</c:formatCode>
                <c:ptCount val="1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94.2</c:v>
                </c:pt>
                <c:pt idx="4">
                  <c:v>90.1</c:v>
                </c:pt>
                <c:pt idx="5">
                  <c:v>84.8</c:v>
                </c:pt>
                <c:pt idx="6">
                  <c:v>73.2</c:v>
                </c:pt>
                <c:pt idx="7">
                  <c:v>61.2</c:v>
                </c:pt>
                <c:pt idx="8">
                  <c:v>48.3</c:v>
                </c:pt>
                <c:pt idx="9">
                  <c:v>34.6</c:v>
                </c:pt>
                <c:pt idx="10">
                  <c:v>15.6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EB-4CAA-A3D8-249C10E47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1517032"/>
        <c:axId val="232087776"/>
      </c:scatterChart>
      <c:valAx>
        <c:axId val="231517032"/>
        <c:scaling>
          <c:logBase val="10"/>
          <c:orientation val="minMax"/>
        </c:scaling>
        <c:delete val="0"/>
        <c:axPos val="b"/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lang="en-US" sz="10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Opening size (mm)</a:t>
                </a:r>
              </a:p>
            </c:rich>
          </c:tx>
          <c:layout>
            <c:manualLayout>
              <c:xMode val="edge"/>
              <c:yMode val="edge"/>
              <c:x val="0.45801558774618822"/>
              <c:y val="0.8956055493063365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US" sz="10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232087776"/>
        <c:crosses val="autoZero"/>
        <c:crossBetween val="midCat"/>
      </c:valAx>
      <c:valAx>
        <c:axId val="232087776"/>
        <c:scaling>
          <c:orientation val="minMax"/>
          <c:max val="1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lang="en-US" sz="10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Passing (%)</a:t>
                </a:r>
              </a:p>
            </c:rich>
          </c:tx>
          <c:layout>
            <c:manualLayout>
              <c:xMode val="edge"/>
              <c:yMode val="edge"/>
              <c:x val="2.4427480916030534E-2"/>
              <c:y val="0.3379126647630598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US" sz="10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231517032"/>
        <c:crossesAt val="1.0000000000000005E-2"/>
        <c:crossBetween val="midCat"/>
      </c:valAx>
      <c:spPr>
        <a:solidFill>
          <a:srgbClr val="C0C0C0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Times New Roman"/>
          <a:ea typeface="Times New Roman"/>
          <a:cs typeface="Times New Roman"/>
        </a:defRPr>
      </a:pPr>
      <a:endParaRPr lang="en-US"/>
    </a:p>
  </c:txPr>
  <c:printSettings>
    <c:headerFooter alignWithMargins="0"/>
    <c:pageMargins b="1" l="0.75000000000000144" r="0.75000000000000144" t="1" header="0.5" footer="0.5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765897292004868E-2"/>
          <c:y val="5.2535983201515493E-2"/>
          <c:w val="0.88376002349203386"/>
          <c:h val="0.85349232706947942"/>
        </c:manualLayout>
      </c:layout>
      <c:scatterChart>
        <c:scatterStyle val="smoothMarker"/>
        <c:varyColors val="0"/>
        <c:ser>
          <c:idx val="0"/>
          <c:order val="0"/>
          <c:spPr>
            <a:ln w="47625">
              <a:noFill/>
            </a:ln>
          </c:spPr>
          <c:trendline>
            <c:spPr>
              <a:ln w="22225">
                <a:solidFill>
                  <a:srgbClr val="002060"/>
                </a:solidFill>
              </a:ln>
            </c:spPr>
            <c:trendlineType val="poly"/>
            <c:order val="4"/>
            <c:dispRSqr val="0"/>
            <c:dispEq val="0"/>
          </c:trendline>
          <c:xVal>
            <c:numRef>
              <c:f>Proctor!$E$18:$H$18</c:f>
              <c:numCache>
                <c:formatCode>0.0</c:formatCode>
                <c:ptCount val="4"/>
                <c:pt idx="0">
                  <c:v>4.7</c:v>
                </c:pt>
                <c:pt idx="1">
                  <c:v>5.4</c:v>
                </c:pt>
                <c:pt idx="2">
                  <c:v>7.1</c:v>
                </c:pt>
                <c:pt idx="3">
                  <c:v>8.1999999999999993</c:v>
                </c:pt>
              </c:numCache>
            </c:numRef>
          </c:xVal>
          <c:yVal>
            <c:numRef>
              <c:f>Proctor!$E$19:$H$19</c:f>
              <c:numCache>
                <c:formatCode>0.000</c:formatCode>
                <c:ptCount val="4"/>
                <c:pt idx="0">
                  <c:v>2.0487106017191978</c:v>
                </c:pt>
                <c:pt idx="1">
                  <c:v>2.0891840607210623</c:v>
                </c:pt>
                <c:pt idx="2">
                  <c:v>2.1101774042950514</c:v>
                </c:pt>
                <c:pt idx="3">
                  <c:v>2.0573012939001849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E43-416B-9B84-17149D846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521472"/>
        <c:axId val="78523008"/>
      </c:scatterChart>
      <c:scatterChart>
        <c:scatterStyle val="lineMarker"/>
        <c:varyColors val="0"/>
        <c:ser>
          <c:idx val="1"/>
          <c:order val="1"/>
          <c:tx>
            <c:v>Max X</c:v>
          </c:tx>
          <c:spPr>
            <a:ln w="50800"/>
          </c:spPr>
          <c:marker>
            <c:symbol val="none"/>
          </c:marker>
          <c:xVal>
            <c:numRef>
              <c:f>(Proctor!$F$44,Proctor!$H$44)</c:f>
              <c:numCache>
                <c:formatCode>0.00</c:formatCode>
                <c:ptCount val="2"/>
                <c:pt idx="0">
                  <c:v>6.6</c:v>
                </c:pt>
                <c:pt idx="1">
                  <c:v>0</c:v>
                </c:pt>
              </c:numCache>
            </c:numRef>
          </c:xVal>
          <c:yVal>
            <c:numRef>
              <c:f>(Proctor!$F$45,Proctor!$H$45)</c:f>
              <c:numCache>
                <c:formatCode>0.000</c:formatCode>
                <c:ptCount val="2"/>
                <c:pt idx="0">
                  <c:v>2.1179999999999999</c:v>
                </c:pt>
                <c:pt idx="1">
                  <c:v>2.1179999999999999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BA62-4BC4-BAB3-4696C33C0C2A}"/>
            </c:ext>
          </c:extLst>
        </c:ser>
        <c:ser>
          <c:idx val="3"/>
          <c:order val="2"/>
          <c:tx>
            <c:v>Max y</c:v>
          </c:tx>
          <c:spPr>
            <a:ln w="50800"/>
          </c:spPr>
          <c:marker>
            <c:symbol val="none"/>
          </c:marker>
          <c:xVal>
            <c:numRef>
              <c:f>(Proctor!$F$44,Proctor!$G$44)</c:f>
              <c:numCache>
                <c:formatCode>0.00</c:formatCode>
                <c:ptCount val="2"/>
                <c:pt idx="0">
                  <c:v>6.6</c:v>
                </c:pt>
                <c:pt idx="1">
                  <c:v>6.6</c:v>
                </c:pt>
              </c:numCache>
            </c:numRef>
          </c:xVal>
          <c:yVal>
            <c:numRef>
              <c:f>(Proctor!$F$45,Proctor!$G$45)</c:f>
              <c:numCache>
                <c:formatCode>0.000</c:formatCode>
                <c:ptCount val="2"/>
                <c:pt idx="0">
                  <c:v>2.1179999999999999</c:v>
                </c:pt>
                <c:pt idx="1">
                  <c:v>2.0487106017191978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BA62-4BC4-BAB3-4696C33C0C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521472"/>
        <c:axId val="78523008"/>
      </c:scatterChart>
      <c:valAx>
        <c:axId val="78521472"/>
        <c:scaling>
          <c:orientation val="minMax"/>
          <c:min val="3"/>
        </c:scaling>
        <c:delete val="0"/>
        <c:axPos val="b"/>
        <c:minorGridlines/>
        <c:numFmt formatCode="0.0" sourceLinked="1"/>
        <c:majorTickMark val="out"/>
        <c:minorTickMark val="none"/>
        <c:tickLblPos val="nextTo"/>
        <c:txPr>
          <a:bodyPr/>
          <a:lstStyle/>
          <a:p>
            <a:pPr>
              <a:defRPr sz="1050"/>
            </a:pPr>
            <a:endParaRPr lang="en-US"/>
          </a:p>
        </c:txPr>
        <c:crossAx val="78523008"/>
        <c:crosses val="autoZero"/>
        <c:crossBetween val="midCat"/>
        <c:majorUnit val="1"/>
        <c:minorUnit val="0.2"/>
      </c:valAx>
      <c:valAx>
        <c:axId val="78523008"/>
        <c:scaling>
          <c:orientation val="minMax"/>
          <c:max val="2.14"/>
        </c:scaling>
        <c:delete val="0"/>
        <c:axPos val="l"/>
        <c:majorGridlines/>
        <c:numFmt formatCode="0.000" sourceLinked="1"/>
        <c:majorTickMark val="out"/>
        <c:minorTickMark val="none"/>
        <c:tickLblPos val="nextTo"/>
        <c:txPr>
          <a:bodyPr/>
          <a:lstStyle/>
          <a:p>
            <a:pPr>
              <a:defRPr sz="1050"/>
            </a:pPr>
            <a:endParaRPr lang="en-US"/>
          </a:p>
        </c:txPr>
        <c:crossAx val="78521472"/>
        <c:crosses val="autoZero"/>
        <c:crossBetween val="midCat"/>
        <c:majorUnit val="1.0000000000000002E-2"/>
        <c:minorUnit val="1.0000000000000002E-2"/>
      </c:valAx>
      <c:spPr>
        <a:solidFill>
          <a:schemeClr val="accent1">
            <a:lumMod val="20000"/>
            <a:lumOff val="80000"/>
          </a:schemeClr>
        </a:solidFill>
      </c:spPr>
    </c:plotArea>
    <c:plotVisOnly val="1"/>
    <c:dispBlanksAs val="gap"/>
    <c:showDLblsOverMax val="0"/>
  </c:chart>
  <c:spPr>
    <a:ln>
      <a:noFill/>
    </a:ln>
  </c:spPr>
  <c:printSettings>
    <c:headerFooter/>
    <c:pageMargins b="0.75000000000000155" l="0.70000000000000062" r="0.70000000000000062" t="0.75000000000000155" header="0.30000000000000032" footer="0.30000000000000032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8977037418061435"/>
          <c:y val="9.0589576302962174E-2"/>
          <c:w val="0.74811907305556657"/>
          <c:h val="0.7449739782527186"/>
        </c:manualLayout>
      </c:layout>
      <c:scatterChart>
        <c:scatterStyle val="smoothMarker"/>
        <c:varyColors val="0"/>
        <c:ser>
          <c:idx val="0"/>
          <c:order val="0"/>
          <c:spPr>
            <a:ln w="9525" cap="rnd" cmpd="sng">
              <a:solidFill>
                <a:schemeClr val="tx1"/>
              </a:solidFill>
            </a:ln>
          </c:spPr>
          <c:marker>
            <c:symbol val="circle"/>
            <c:size val="2"/>
            <c:spPr>
              <a:solidFill>
                <a:schemeClr val="tx2"/>
              </a:solidFill>
            </c:spPr>
          </c:marker>
          <c:xVal>
            <c:numRef>
              <c:f>'10 Blows'!$G$19:$G$29</c:f>
              <c:numCache>
                <c:formatCode>General</c:formatCode>
                <c:ptCount val="11"/>
                <c:pt idx="0" formatCode="0.000">
                  <c:v>0</c:v>
                </c:pt>
                <c:pt idx="1">
                  <c:v>2.5000000000000001E-2</c:v>
                </c:pt>
                <c:pt idx="2" formatCode="0.000">
                  <c:v>0.05</c:v>
                </c:pt>
                <c:pt idx="3" formatCode="0.000">
                  <c:v>7.4999999999999997E-2</c:v>
                </c:pt>
                <c:pt idx="4" formatCode="0.000">
                  <c:v>0.1</c:v>
                </c:pt>
                <c:pt idx="5" formatCode="0.000">
                  <c:v>0.125</c:v>
                </c:pt>
                <c:pt idx="6" formatCode="0.000">
                  <c:v>0.15</c:v>
                </c:pt>
                <c:pt idx="7" formatCode="0.000">
                  <c:v>0.17499999999999999</c:v>
                </c:pt>
                <c:pt idx="8" formatCode="0.000">
                  <c:v>0.2</c:v>
                </c:pt>
                <c:pt idx="9" formatCode="0.000">
                  <c:v>0.3</c:v>
                </c:pt>
                <c:pt idx="10" formatCode="0.000">
                  <c:v>0.4</c:v>
                </c:pt>
              </c:numCache>
            </c:numRef>
          </c:xVal>
          <c:yVal>
            <c:numRef>
              <c:f>'10 Blows'!$I$19:$I$29</c:f>
              <c:numCache>
                <c:formatCode>0</c:formatCode>
                <c:ptCount val="11"/>
                <c:pt idx="0" formatCode="0.0">
                  <c:v>0</c:v>
                </c:pt>
                <c:pt idx="1">
                  <c:v>54.246726300000006</c:v>
                </c:pt>
                <c:pt idx="2">
                  <c:v>105.47974558333334</c:v>
                </c:pt>
                <c:pt idx="3">
                  <c:v>165.75388591666666</c:v>
                </c:pt>
                <c:pt idx="4">
                  <c:v>223.01431923333334</c:v>
                </c:pt>
                <c:pt idx="5">
                  <c:v>307.39811570000001</c:v>
                </c:pt>
                <c:pt idx="6">
                  <c:v>382.74079111666668</c:v>
                </c:pt>
                <c:pt idx="7">
                  <c:v>467.12458758333332</c:v>
                </c:pt>
                <c:pt idx="8">
                  <c:v>512.33019283333329</c:v>
                </c:pt>
                <c:pt idx="9">
                  <c:v>542.467263</c:v>
                </c:pt>
                <c:pt idx="10">
                  <c:v>557.53579808333336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F6-48E1-B608-63ECD7399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4970127"/>
        <c:axId val="1"/>
      </c:scatterChart>
      <c:valAx>
        <c:axId val="1664970127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Penetration ( inch )</a:t>
                </a:r>
              </a:p>
            </c:rich>
          </c:tx>
          <c:layout>
            <c:manualLayout>
              <c:xMode val="edge"/>
              <c:yMode val="edge"/>
              <c:x val="0.36638678959099963"/>
              <c:y val="0.92833579179911219"/>
            </c:manualLayout>
          </c:layout>
          <c:overlay val="0"/>
        </c:title>
        <c:numFmt formatCode="0.000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Stress  ( psi ) </a:t>
                </a:r>
              </a:p>
            </c:rich>
          </c:tx>
          <c:layout>
            <c:manualLayout>
              <c:xMode val="edge"/>
              <c:yMode val="edge"/>
              <c:x val="6.1040108679882351E-3"/>
              <c:y val="0.3502223699610108"/>
            </c:manualLayout>
          </c:layout>
          <c:overlay val="0"/>
        </c:title>
        <c:numFmt formatCode="0.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664970127"/>
        <c:crossesAt val="0"/>
        <c:crossBetween val="midCat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1" l="0.75000000000000022" r="0.75000000000000022" t="1" header="0.5" footer="0.5"/>
    <c:pageSetup paperSize="9" orientation="landscape"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8977037418061435"/>
          <c:y val="9.0589576302962174E-2"/>
          <c:w val="0.74811907305556657"/>
          <c:h val="0.7449739782527186"/>
        </c:manualLayout>
      </c:layout>
      <c:scatterChart>
        <c:scatterStyle val="smoothMarker"/>
        <c:varyColors val="0"/>
        <c:ser>
          <c:idx val="0"/>
          <c:order val="0"/>
          <c:spPr>
            <a:ln w="9525" cap="rnd" cmpd="sng">
              <a:solidFill>
                <a:schemeClr val="tx1"/>
              </a:solidFill>
            </a:ln>
          </c:spPr>
          <c:marker>
            <c:symbol val="circle"/>
            <c:size val="2"/>
            <c:spPr>
              <a:solidFill>
                <a:schemeClr val="tx2"/>
              </a:solidFill>
            </c:spPr>
          </c:marker>
          <c:xVal>
            <c:numRef>
              <c:f>'25 Blows'!$G$19:$G$29</c:f>
              <c:numCache>
                <c:formatCode>General</c:formatCode>
                <c:ptCount val="11"/>
                <c:pt idx="0" formatCode="0.000">
                  <c:v>0</c:v>
                </c:pt>
                <c:pt idx="1">
                  <c:v>2.5000000000000001E-2</c:v>
                </c:pt>
                <c:pt idx="2" formatCode="0.000">
                  <c:v>0.05</c:v>
                </c:pt>
                <c:pt idx="3" formatCode="0.000">
                  <c:v>7.4999999999999997E-2</c:v>
                </c:pt>
                <c:pt idx="4" formatCode="0.000">
                  <c:v>0.1</c:v>
                </c:pt>
                <c:pt idx="5" formatCode="0.000">
                  <c:v>0.125</c:v>
                </c:pt>
                <c:pt idx="6" formatCode="0.000">
                  <c:v>0.15</c:v>
                </c:pt>
                <c:pt idx="7" formatCode="0.000">
                  <c:v>0.17499999999999999</c:v>
                </c:pt>
                <c:pt idx="8" formatCode="0.000">
                  <c:v>0.2</c:v>
                </c:pt>
                <c:pt idx="9" formatCode="0.000">
                  <c:v>0.3</c:v>
                </c:pt>
                <c:pt idx="10" formatCode="0.000">
                  <c:v>0.4</c:v>
                </c:pt>
              </c:numCache>
            </c:numRef>
          </c:xVal>
          <c:yVal>
            <c:numRef>
              <c:f>'25 Blows'!$I$19:$I$29</c:f>
              <c:numCache>
                <c:formatCode>0</c:formatCode>
                <c:ptCount val="11"/>
                <c:pt idx="0" formatCode="0.0">
                  <c:v>0</c:v>
                </c:pt>
                <c:pt idx="1">
                  <c:v>87.397503483333352</c:v>
                </c:pt>
                <c:pt idx="2">
                  <c:v>156.71276486666667</c:v>
                </c:pt>
                <c:pt idx="3">
                  <c:v>223.01431923333334</c:v>
                </c:pt>
                <c:pt idx="4">
                  <c:v>316.43923675000002</c:v>
                </c:pt>
                <c:pt idx="5">
                  <c:v>385.75449813333336</c:v>
                </c:pt>
                <c:pt idx="6">
                  <c:v>458.08346653333336</c:v>
                </c:pt>
                <c:pt idx="7">
                  <c:v>554.52209106666669</c:v>
                </c:pt>
                <c:pt idx="8">
                  <c:v>608.76881736666667</c:v>
                </c:pt>
                <c:pt idx="9">
                  <c:v>638.90588753333338</c:v>
                </c:pt>
                <c:pt idx="10">
                  <c:v>650.96071560000007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F5F-4307-96BF-DA7E5762C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4970127"/>
        <c:axId val="1"/>
      </c:scatterChart>
      <c:valAx>
        <c:axId val="1664970127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Penetration ( inch )</a:t>
                </a:r>
              </a:p>
            </c:rich>
          </c:tx>
          <c:layout>
            <c:manualLayout>
              <c:xMode val="edge"/>
              <c:yMode val="edge"/>
              <c:x val="0.36638678959099963"/>
              <c:y val="0.92833579179911219"/>
            </c:manualLayout>
          </c:layout>
          <c:overlay val="0"/>
        </c:title>
        <c:numFmt formatCode="0.000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Stress  ( psi ) </a:t>
                </a:r>
              </a:p>
            </c:rich>
          </c:tx>
          <c:layout>
            <c:manualLayout>
              <c:xMode val="edge"/>
              <c:yMode val="edge"/>
              <c:x val="6.1040108679882351E-3"/>
              <c:y val="0.3502223699610108"/>
            </c:manualLayout>
          </c:layout>
          <c:overlay val="0"/>
        </c:title>
        <c:numFmt formatCode="0.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664970127"/>
        <c:crossesAt val="0"/>
        <c:crossBetween val="midCat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1" l="0.75000000000000022" r="0.75000000000000022" t="1" header="0.5" footer="0.5"/>
    <c:pageSetup paperSize="9" orientation="landscape"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8977037418061435"/>
          <c:y val="9.0589576302962174E-2"/>
          <c:w val="0.74811907305556657"/>
          <c:h val="0.7449739782527186"/>
        </c:manualLayout>
      </c:layout>
      <c:scatterChart>
        <c:scatterStyle val="smoothMarker"/>
        <c:varyColors val="0"/>
        <c:ser>
          <c:idx val="0"/>
          <c:order val="0"/>
          <c:spPr>
            <a:ln w="9525" cap="rnd" cmpd="sng">
              <a:solidFill>
                <a:schemeClr val="tx1"/>
              </a:solidFill>
            </a:ln>
          </c:spPr>
          <c:marker>
            <c:symbol val="circle"/>
            <c:size val="2"/>
            <c:spPr>
              <a:solidFill>
                <a:schemeClr val="tx2"/>
              </a:solidFill>
            </c:spPr>
          </c:marker>
          <c:xVal>
            <c:numRef>
              <c:f>'65 Blows'!$G$19:$G$29</c:f>
              <c:numCache>
                <c:formatCode>General</c:formatCode>
                <c:ptCount val="11"/>
                <c:pt idx="0" formatCode="0.000">
                  <c:v>0</c:v>
                </c:pt>
                <c:pt idx="1">
                  <c:v>2.5000000000000001E-2</c:v>
                </c:pt>
                <c:pt idx="2" formatCode="0.000">
                  <c:v>0.05</c:v>
                </c:pt>
                <c:pt idx="3" formatCode="0.000">
                  <c:v>7.4999999999999997E-2</c:v>
                </c:pt>
                <c:pt idx="4" formatCode="0.000">
                  <c:v>0.1</c:v>
                </c:pt>
                <c:pt idx="5" formatCode="0.000">
                  <c:v>0.125</c:v>
                </c:pt>
                <c:pt idx="6" formatCode="0.000">
                  <c:v>0.15</c:v>
                </c:pt>
                <c:pt idx="7" formatCode="0.000">
                  <c:v>0.17499999999999999</c:v>
                </c:pt>
                <c:pt idx="8" formatCode="0.000">
                  <c:v>0.2</c:v>
                </c:pt>
                <c:pt idx="9" formatCode="0.000">
                  <c:v>0.3</c:v>
                </c:pt>
                <c:pt idx="10" formatCode="0.000">
                  <c:v>0.4</c:v>
                </c:pt>
              </c:numCache>
            </c:numRef>
          </c:xVal>
          <c:yVal>
            <c:numRef>
              <c:f>'65 Blows'!$I$19:$I$29</c:f>
              <c:numCache>
                <c:formatCode>0</c:formatCode>
                <c:ptCount val="11"/>
                <c:pt idx="0" formatCode="0.0">
                  <c:v>0</c:v>
                </c:pt>
                <c:pt idx="1">
                  <c:v>117.53457365000001</c:v>
                </c:pt>
                <c:pt idx="2">
                  <c:v>216.98690520000002</c:v>
                </c:pt>
                <c:pt idx="3">
                  <c:v>310.41182271666668</c:v>
                </c:pt>
                <c:pt idx="4">
                  <c:v>427.9463963666667</c:v>
                </c:pt>
                <c:pt idx="5">
                  <c:v>539.45355598333333</c:v>
                </c:pt>
                <c:pt idx="6">
                  <c:v>647.94700858333329</c:v>
                </c:pt>
                <c:pt idx="7">
                  <c:v>768.49528925000004</c:v>
                </c:pt>
                <c:pt idx="8">
                  <c:v>828.76942958333348</c:v>
                </c:pt>
                <c:pt idx="9">
                  <c:v>873.97503483333332</c:v>
                </c:pt>
                <c:pt idx="10">
                  <c:v>889.0435699166668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97-4CA4-88EE-67D58D660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4970127"/>
        <c:axId val="1"/>
      </c:scatterChart>
      <c:valAx>
        <c:axId val="1664970127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Penetration ( inch )</a:t>
                </a:r>
              </a:p>
            </c:rich>
          </c:tx>
          <c:layout>
            <c:manualLayout>
              <c:xMode val="edge"/>
              <c:yMode val="edge"/>
              <c:x val="0.36638678959099963"/>
              <c:y val="0.92833579179911219"/>
            </c:manualLayout>
          </c:layout>
          <c:overlay val="0"/>
        </c:title>
        <c:numFmt formatCode="0.000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Stress  ( psi ) </a:t>
                </a:r>
              </a:p>
            </c:rich>
          </c:tx>
          <c:layout>
            <c:manualLayout>
              <c:xMode val="edge"/>
              <c:yMode val="edge"/>
              <c:x val="6.1040108679882351E-3"/>
              <c:y val="0.3502223699610108"/>
            </c:manualLayout>
          </c:layout>
          <c:overlay val="0"/>
        </c:title>
        <c:numFmt formatCode="0.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664970127"/>
        <c:crossesAt val="0"/>
        <c:crossBetween val="midCat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1" l="0.75000000000000022" r="0.75000000000000022" t="1" header="0.5" footer="0.5"/>
    <c:pageSetup paperSize="9" orientation="landscape"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79066950747422"/>
          <c:y val="7.7620027458803045E-2"/>
          <c:w val="0.81279802545976476"/>
          <c:h val="0.749091479844089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'Bearing Ratio'!$F$18:$H$18</c:f>
              <c:strCache>
                <c:ptCount val="3"/>
                <c:pt idx="0">
                  <c:v>34.2</c:v>
                </c:pt>
                <c:pt idx="1">
                  <c:v>40.6</c:v>
                </c:pt>
                <c:pt idx="2">
                  <c:v>55.3</c:v>
                </c:pt>
              </c:strCache>
            </c:strRef>
          </c:tx>
          <c:spPr>
            <a:ln w="22225" cap="rnd" cmpd="sng">
              <a:solidFill>
                <a:schemeClr val="tx1"/>
              </a:solidFill>
            </a:ln>
          </c:spPr>
          <c:marker>
            <c:symbol val="diamond"/>
            <c:size val="5"/>
            <c:spPr>
              <a:solidFill>
                <a:schemeClr val="tx2"/>
              </a:solidFill>
            </c:spPr>
          </c:marker>
          <c:xVal>
            <c:numRef>
              <c:f>'Bearing Ratio'!$F$17:$H$17</c:f>
              <c:numCache>
                <c:formatCode>0.000</c:formatCode>
                <c:ptCount val="3"/>
                <c:pt idx="0">
                  <c:v>1.964</c:v>
                </c:pt>
                <c:pt idx="1">
                  <c:v>1.996</c:v>
                </c:pt>
                <c:pt idx="2">
                  <c:v>2.15</c:v>
                </c:pt>
              </c:numCache>
            </c:numRef>
          </c:xVal>
          <c:yVal>
            <c:numRef>
              <c:f>'Bearing Ratio'!$F$18:$H$18</c:f>
              <c:numCache>
                <c:formatCode>0.0</c:formatCode>
                <c:ptCount val="3"/>
                <c:pt idx="0">
                  <c:v>34.155346188888885</c:v>
                </c:pt>
                <c:pt idx="1">
                  <c:v>40.584587824444448</c:v>
                </c:pt>
                <c:pt idx="2">
                  <c:v>55.251295305555573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10-4F5D-8FF0-691998E09420}"/>
            </c:ext>
          </c:extLst>
        </c:ser>
        <c:ser>
          <c:idx val="1"/>
          <c:order val="1"/>
          <c:spPr>
            <a:ln w="9525">
              <a:solidFill>
                <a:schemeClr val="tx2"/>
              </a:solidFill>
              <a:headEnd type="none"/>
              <a:tailEnd type="triangle"/>
            </a:ln>
          </c:spPr>
          <c:marker>
            <c:symbol val="none"/>
          </c:marker>
          <c:xVal>
            <c:numRef>
              <c:f>'Bearing Ratio'!$K$31:$K$32</c:f>
              <c:numCache>
                <c:formatCode>0.000</c:formatCode>
                <c:ptCount val="2"/>
              </c:numCache>
            </c:numRef>
          </c:xVal>
          <c:yVal>
            <c:numRef>
              <c:f>'Bearing Ratio'!$L$31:$L$32</c:f>
              <c:numCache>
                <c:formatCode>0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10-4F5D-8FF0-691998E09420}"/>
            </c:ext>
          </c:extLst>
        </c:ser>
        <c:ser>
          <c:idx val="2"/>
          <c:order val="2"/>
          <c:spPr>
            <a:ln w="9525">
              <a:solidFill>
                <a:schemeClr val="tx2"/>
              </a:solidFill>
              <a:headEnd type="triangle"/>
              <a:tailEnd type="none"/>
            </a:ln>
          </c:spPr>
          <c:marker>
            <c:symbol val="none"/>
          </c:marker>
          <c:xVal>
            <c:numRef>
              <c:f>'Bearing Ratio'!$K$29:$K$30</c:f>
              <c:numCache>
                <c:formatCode>0.000</c:formatCode>
                <c:ptCount val="2"/>
              </c:numCache>
            </c:numRef>
          </c:xVal>
          <c:yVal>
            <c:numRef>
              <c:f>'Bearing Ratio'!$L$29:$L$30</c:f>
              <c:numCache>
                <c:formatCode>0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010-4F5D-8FF0-691998E09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4978863"/>
        <c:axId val="1"/>
      </c:scatterChart>
      <c:valAx>
        <c:axId val="1664978863"/>
        <c:scaling>
          <c:orientation val="minMax"/>
          <c:max val="2.2000000000000002"/>
          <c:min val="1.9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800" b="0" i="0" u="none" strike="noStrike" baseline="0">
                    <a:solidFill>
                      <a:srgbClr val="000000"/>
                    </a:solidFill>
                    <a:latin typeface="Arial"/>
                    <a:cs typeface="Arial"/>
                  </a:rPr>
                  <a:t>Dry Density  (gm/cm</a:t>
                </a:r>
                <a:r>
                  <a:rPr lang="en-US" sz="800" b="0" i="0" u="none" strike="noStrike" baseline="30000">
                    <a:solidFill>
                      <a:srgbClr val="000000"/>
                    </a:solidFill>
                    <a:latin typeface="Arial"/>
                    <a:cs typeface="Arial"/>
                  </a:rPr>
                  <a:t>3</a:t>
                </a:r>
                <a:r>
                  <a:rPr lang="en-US" sz="800" b="0" i="0" u="none" strike="noStrike" baseline="0">
                    <a:solidFill>
                      <a:srgbClr val="000000"/>
                    </a:solidFill>
                    <a:latin typeface="Arial"/>
                    <a:cs typeface="Arial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46056115217284377"/>
              <c:y val="0.91504636920384941"/>
            </c:manualLayout>
          </c:layout>
          <c:overlay val="0"/>
        </c:title>
        <c:numFmt formatCode="#,##0.0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ax val="100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Corrected  CBR(%)</a:t>
                </a:r>
              </a:p>
            </c:rich>
          </c:tx>
          <c:layout>
            <c:manualLayout>
              <c:xMode val="edge"/>
              <c:yMode val="edge"/>
              <c:x val="1.5856595438347037E-2"/>
              <c:y val="0.30787261592300957"/>
            </c:manualLayout>
          </c:layout>
          <c:overlay val="0"/>
        </c:title>
        <c:numFmt formatCode="0.0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664978863"/>
        <c:crosses val="autoZero"/>
        <c:crossBetween val="midCat"/>
        <c:minorUnit val="5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1" l="0.75000000000000078" r="0.75000000000000078" t="1" header="0.5" footer="0.5"/>
    <c:pageSetup paperSize="9" orientation="landscape"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95249</xdr:rowOff>
    </xdr:from>
    <xdr:to>
      <xdr:col>16</xdr:col>
      <xdr:colOff>9525</xdr:colOff>
      <xdr:row>34</xdr:row>
      <xdr:rowOff>419099</xdr:rowOff>
    </xdr:to>
    <xdr:graphicFrame macro="">
      <xdr:nvGraphicFramePr>
        <xdr:cNvPr id="1025" name="Chart 4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102053</xdr:colOff>
      <xdr:row>19</xdr:row>
      <xdr:rowOff>83345</xdr:rowOff>
    </xdr:from>
    <xdr:to>
      <xdr:col>8</xdr:col>
      <xdr:colOff>887864</xdr:colOff>
      <xdr:row>32</xdr:row>
      <xdr:rowOff>214313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2F2FA4-718A-4B21-A986-E85D44C9E9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72060</xdr:rowOff>
    </xdr:from>
    <xdr:to>
      <xdr:col>5</xdr:col>
      <xdr:colOff>666750</xdr:colOff>
      <xdr:row>29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61E51D-222E-4376-88C0-A79C3EED4E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0.44182</cdr:x>
      <cdr:y>0.04558</cdr:y>
    </cdr:from>
    <cdr:to>
      <cdr:x>0.70507</cdr:x>
      <cdr:y>0.29936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533525" y="16192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0.1511</cdr:x>
      <cdr:y>0.01055</cdr:y>
    </cdr:from>
    <cdr:to>
      <cdr:x>0.96654</cdr:x>
      <cdr:y>0.08086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523875" y="38101"/>
          <a:ext cx="2828925" cy="247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/>
        <a:p xmlns:a="http://schemas.openxmlformats.org/drawingml/2006/main">
          <a:r>
            <a:rPr lang="en-US" sz="1100">
              <a:latin typeface="+mn-lt"/>
              <a:ea typeface="+mn-ea"/>
              <a:cs typeface="+mn-cs"/>
            </a:rPr>
            <a:t>PENETRATION</a:t>
          </a:r>
          <a:r>
            <a:rPr lang="en-US" sz="1100" baseline="0">
              <a:latin typeface="+mn-lt"/>
              <a:ea typeface="+mn-ea"/>
              <a:cs typeface="+mn-cs"/>
            </a:rPr>
            <a:t> vs. UNIT Load (STRESS ) CURVE</a:t>
          </a:r>
          <a:endParaRPr lang="en-US" sz="1100">
            <a:latin typeface="+mn-lt"/>
            <a:ea typeface="+mn-ea"/>
            <a:cs typeface="+mn-cs"/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74469</xdr:rowOff>
    </xdr:from>
    <xdr:to>
      <xdr:col>5</xdr:col>
      <xdr:colOff>666750</xdr:colOff>
      <xdr:row>29</xdr:row>
      <xdr:rowOff>41565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1DD89B-D591-410D-88A1-2630F5D203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0.44182</cdr:x>
      <cdr:y>0.04558</cdr:y>
    </cdr:from>
    <cdr:to>
      <cdr:x>0.70507</cdr:x>
      <cdr:y>0.29936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533525" y="16192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0.1511</cdr:x>
      <cdr:y>0.01055</cdr:y>
    </cdr:from>
    <cdr:to>
      <cdr:x>0.96654</cdr:x>
      <cdr:y>0.08086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523875" y="38101"/>
          <a:ext cx="2828925" cy="247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/>
        <a:p xmlns:a="http://schemas.openxmlformats.org/drawingml/2006/main">
          <a:r>
            <a:rPr lang="en-US" sz="1100">
              <a:latin typeface="+mn-lt"/>
              <a:ea typeface="+mn-ea"/>
              <a:cs typeface="+mn-cs"/>
            </a:rPr>
            <a:t>PENETRATION</a:t>
          </a:r>
          <a:r>
            <a:rPr lang="en-US" sz="1100" baseline="0">
              <a:latin typeface="+mn-lt"/>
              <a:ea typeface="+mn-ea"/>
              <a:cs typeface="+mn-cs"/>
            </a:rPr>
            <a:t> vs. UNIT Load (STRESS ) CURVE</a:t>
          </a:r>
          <a:endParaRPr lang="en-US" sz="1100">
            <a:latin typeface="+mn-lt"/>
            <a:ea typeface="+mn-ea"/>
            <a:cs typeface="+mn-cs"/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19050</xdr:rowOff>
    </xdr:from>
    <xdr:to>
      <xdr:col>5</xdr:col>
      <xdr:colOff>666750</xdr:colOff>
      <xdr:row>29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A6880D-2D7D-463F-B7A3-F35A963BB5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0.44182</cdr:x>
      <cdr:y>0.04558</cdr:y>
    </cdr:from>
    <cdr:to>
      <cdr:x>0.70507</cdr:x>
      <cdr:y>0.29936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533525" y="16192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0.1511</cdr:x>
      <cdr:y>0.01055</cdr:y>
    </cdr:from>
    <cdr:to>
      <cdr:x>0.96654</cdr:x>
      <cdr:y>0.08086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523875" y="38101"/>
          <a:ext cx="2828925" cy="247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/>
        <a:p xmlns:a="http://schemas.openxmlformats.org/drawingml/2006/main">
          <a:r>
            <a:rPr lang="en-US" sz="1100">
              <a:latin typeface="+mn-lt"/>
              <a:ea typeface="+mn-ea"/>
              <a:cs typeface="+mn-cs"/>
            </a:rPr>
            <a:t>PENETRATION</a:t>
          </a:r>
          <a:r>
            <a:rPr lang="en-US" sz="1100" baseline="0">
              <a:latin typeface="+mn-lt"/>
              <a:ea typeface="+mn-ea"/>
              <a:cs typeface="+mn-cs"/>
            </a:rPr>
            <a:t> vs. UNIT Load (STRESS ) CURVE</a:t>
          </a:r>
          <a:endParaRPr lang="en-US" sz="1100">
            <a:latin typeface="+mn-lt"/>
            <a:ea typeface="+mn-ea"/>
            <a:cs typeface="+mn-cs"/>
          </a:endParaRP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57978</xdr:colOff>
      <xdr:row>20</xdr:row>
      <xdr:rowOff>6626</xdr:rowOff>
    </xdr:from>
    <xdr:to>
      <xdr:col>9</xdr:col>
      <xdr:colOff>48453</xdr:colOff>
      <xdr:row>31</xdr:row>
      <xdr:rowOff>44726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575418-8207-4795-9E1D-250073C92C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2</xdr:col>
      <xdr:colOff>647064</xdr:colOff>
      <xdr:row>4</xdr:row>
      <xdr:rowOff>56227</xdr:rowOff>
    </xdr:from>
    <xdr:ext cx="2164793" cy="27480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B8919A9-9382-4EF5-A60E-D91234DD7C30}"/>
            </a:ext>
          </a:extLst>
        </xdr:cNvPr>
        <xdr:cNvSpPr txBox="1"/>
      </xdr:nvSpPr>
      <xdr:spPr>
        <a:xfrm>
          <a:off x="1889124" y="963007"/>
          <a:ext cx="2164793" cy="274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/>
        <a:p>
          <a:endParaRPr lang="en-US"/>
        </a:p>
      </xdr:txBody>
    </xdr:sp>
    <xdr:clientData/>
  </xdr:oneCellAnchor>
  <xdr:oneCellAnchor>
    <xdr:from>
      <xdr:col>7</xdr:col>
      <xdr:colOff>588715</xdr:colOff>
      <xdr:row>24</xdr:row>
      <xdr:rowOff>162919</xdr:rowOff>
    </xdr:from>
    <xdr:ext cx="1399424" cy="24885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D8EBBC0-E28F-4418-B342-655417BE0593}"/>
            </a:ext>
          </a:extLst>
        </xdr:cNvPr>
        <xdr:cNvSpPr txBox="1"/>
      </xdr:nvSpPr>
      <xdr:spPr>
        <a:xfrm>
          <a:off x="5945575" y="6624679"/>
          <a:ext cx="139942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/>
        <a:p>
          <a:pPr rtl="0"/>
          <a:r>
            <a:rPr lang="en-US" sz="1000" b="0" i="0">
              <a:solidFill>
                <a:schemeClr val="tx1"/>
              </a:solidFill>
              <a:latin typeface="+mn-lt"/>
              <a:ea typeface="+mn-ea"/>
              <a:cs typeface="+mn-cs"/>
            </a:rPr>
            <a:t>65 Blows per layer</a:t>
          </a:r>
          <a:endParaRPr lang="en-US" sz="1000"/>
        </a:p>
      </xdr:txBody>
    </xdr:sp>
    <xdr:clientData/>
  </xdr:oneCellAnchor>
  <xdr:oneCellAnchor>
    <xdr:from>
      <xdr:col>4</xdr:col>
      <xdr:colOff>295983</xdr:colOff>
      <xdr:row>25</xdr:row>
      <xdr:rowOff>192410</xdr:rowOff>
    </xdr:from>
    <xdr:ext cx="1157169" cy="24885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7863E27-B03E-451D-84D8-07D7E657EA46}"/>
            </a:ext>
          </a:extLst>
        </xdr:cNvPr>
        <xdr:cNvSpPr txBox="1"/>
      </xdr:nvSpPr>
      <xdr:spPr>
        <a:xfrm>
          <a:off x="3183963" y="6905630"/>
          <a:ext cx="1157169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/>
        <a:p>
          <a:pPr rtl="0"/>
          <a:r>
            <a:rPr lang="en-US" sz="1000" b="0" i="0">
              <a:solidFill>
                <a:schemeClr val="tx1"/>
              </a:solidFill>
              <a:latin typeface="+mn-lt"/>
              <a:ea typeface="+mn-ea"/>
              <a:cs typeface="+mn-cs"/>
            </a:rPr>
            <a:t>25 Blows per layer</a:t>
          </a:r>
          <a:endParaRPr lang="en-US" sz="1000"/>
        </a:p>
      </xdr:txBody>
    </xdr:sp>
    <xdr:clientData/>
  </xdr:oneCellAnchor>
  <xdr:oneCellAnchor>
    <xdr:from>
      <xdr:col>3</xdr:col>
      <xdr:colOff>89962</xdr:colOff>
      <xdr:row>26</xdr:row>
      <xdr:rowOff>78802</xdr:rowOff>
    </xdr:from>
    <xdr:ext cx="1133260" cy="27297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3CE73A47-E3C3-4242-8FF1-A86E9BCC9878}"/>
            </a:ext>
          </a:extLst>
        </xdr:cNvPr>
        <xdr:cNvSpPr txBox="1"/>
      </xdr:nvSpPr>
      <xdr:spPr>
        <a:xfrm>
          <a:off x="2154982" y="7043482"/>
          <a:ext cx="1133260" cy="2729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noAutofit/>
        </a:bodyPr>
        <a:lstStyle/>
        <a:p>
          <a:pPr rtl="0"/>
          <a:r>
            <a:rPr lang="en-US" sz="1000" b="0" i="0">
              <a:solidFill>
                <a:schemeClr val="tx1"/>
              </a:solidFill>
              <a:latin typeface="+mn-lt"/>
              <a:ea typeface="+mn-ea"/>
              <a:cs typeface="+mn-cs"/>
            </a:rPr>
            <a:t>10 Blows per layer</a:t>
          </a:r>
          <a:endParaRPr lang="en-US" sz="1000"/>
        </a:p>
      </xdr:txBody>
    </xdr:sp>
    <xdr:clientData/>
  </xdr:oneCellAnchor>
  <xdr:oneCellAnchor>
    <xdr:from>
      <xdr:col>4</xdr:col>
      <xdr:colOff>323037</xdr:colOff>
      <xdr:row>23</xdr:row>
      <xdr:rowOff>177136</xdr:rowOff>
    </xdr:from>
    <xdr:ext cx="325695" cy="26326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F7CE678-1042-4081-9308-B66C865B45C3}"/>
            </a:ext>
          </a:extLst>
        </xdr:cNvPr>
        <xdr:cNvSpPr txBox="1"/>
      </xdr:nvSpPr>
      <xdr:spPr>
        <a:xfrm>
          <a:off x="3211017" y="6387436"/>
          <a:ext cx="325695" cy="26326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spAutoFit/>
        </a:bodyPr>
        <a:lstStyle/>
        <a:p>
          <a:endParaRPr lang="en-US"/>
        </a:p>
      </xdr:txBody>
    </xdr:sp>
    <xdr:clientData/>
  </xdr:oneCellAnchor>
  <xdr:twoCellAnchor>
    <xdr:from>
      <xdr:col>2</xdr:col>
      <xdr:colOff>44396</xdr:colOff>
      <xdr:row>24</xdr:row>
      <xdr:rowOff>205325</xdr:rowOff>
    </xdr:from>
    <xdr:to>
      <xdr:col>7</xdr:col>
      <xdr:colOff>245166</xdr:colOff>
      <xdr:row>24</xdr:row>
      <xdr:rowOff>205325</xdr:rowOff>
    </xdr:to>
    <xdr:cxnSp macro="">
      <xdr:nvCxnSpPr>
        <xdr:cNvPr id="8" name="Straight Arrow Connector 2">
          <a:extLst>
            <a:ext uri="{FF2B5EF4-FFF2-40B4-BE49-F238E27FC236}">
              <a16:creationId xmlns:a16="http://schemas.microsoft.com/office/drawing/2014/main" id="{F8548CD7-27B1-470B-9DE5-C13136B4E39F}"/>
            </a:ext>
          </a:extLst>
        </xdr:cNvPr>
        <xdr:cNvCxnSpPr>
          <a:cxnSpLocks noChangeShapeType="1"/>
        </xdr:cNvCxnSpPr>
      </xdr:nvCxnSpPr>
      <xdr:spPr bwMode="auto">
        <a:xfrm flipH="1">
          <a:off x="1286456" y="6667085"/>
          <a:ext cx="4315570" cy="0"/>
        </a:xfrm>
        <a:prstGeom prst="straightConnector1">
          <a:avLst/>
        </a:prstGeom>
        <a:noFill/>
        <a:ln w="9525" algn="ctr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0.29185</cdr:x>
      <cdr:y>0.32445</cdr:y>
    </cdr:from>
    <cdr:to>
      <cdr:x>0.59392</cdr:x>
      <cdr:y>0.42232</cdr:y>
    </cdr:to>
    <cdr:sp macro="" textlink="">
      <cdr:nvSpPr>
        <cdr:cNvPr id="3" name="TextBox 1"/>
        <cdr:cNvSpPr txBox="1"/>
      </cdr:nvSpPr>
      <cdr:spPr>
        <a:xfrm xmlns:a="http://schemas.openxmlformats.org/drawingml/2006/main">
          <a:off x="2091520" y="910995"/>
          <a:ext cx="2164792" cy="2748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400" b="1"/>
            <a:t>  100 % of M.D.D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AppData\Local\Microsoft\Windows\INetCache\IE\GOM4GXI7\65%5b1%5d.xlsx" TargetMode="External"/><Relationship Id="rId1" Type="http://schemas.openxmlformats.org/officeDocument/2006/relationships/externalLinkPath" Target="file:///C:\Users\hp\AppData\Local\Microsoft\Windows\INetCache\IE\GOM4GXI7\65%5b1%5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2487"/>
      <sheetName val="Data"/>
      <sheetName val="Report"/>
      <sheetName val="PI"/>
      <sheetName val="Proctor"/>
      <sheetName val="10 Blows"/>
      <sheetName val="25 Blows "/>
      <sheetName val="65 Blows "/>
      <sheetName val="Bearing Ratio"/>
      <sheetName val="Summary"/>
    </sheetNames>
    <sheetDataSet>
      <sheetData sheetId="0"/>
      <sheetData sheetId="1"/>
      <sheetData sheetId="2">
        <row r="40">
          <cell r="B40" t="str">
            <v>Prepared by : Eng. Alaa Hassan</v>
          </cell>
        </row>
      </sheetData>
      <sheetData sheetId="3"/>
      <sheetData sheetId="4"/>
      <sheetData sheetId="5">
        <row r="19">
          <cell r="G19">
            <v>0</v>
          </cell>
          <cell r="I19">
            <v>0</v>
          </cell>
        </row>
        <row r="20">
          <cell r="G20">
            <v>2.5000000000000001E-2</v>
          </cell>
          <cell r="I20">
            <v>54.246726300000006</v>
          </cell>
        </row>
        <row r="21">
          <cell r="G21">
            <v>0.05</v>
          </cell>
          <cell r="I21">
            <v>105.47974558333334</v>
          </cell>
        </row>
        <row r="22">
          <cell r="G22">
            <v>7.4999999999999997E-2</v>
          </cell>
          <cell r="I22">
            <v>165.75388591666666</v>
          </cell>
        </row>
        <row r="23">
          <cell r="G23">
            <v>0.1</v>
          </cell>
          <cell r="I23">
            <v>223.01431923333334</v>
          </cell>
        </row>
        <row r="24">
          <cell r="G24">
            <v>0.125</v>
          </cell>
          <cell r="I24">
            <v>307.39811570000001</v>
          </cell>
        </row>
        <row r="25">
          <cell r="G25">
            <v>0.15</v>
          </cell>
          <cell r="I25">
            <v>382.74079111666668</v>
          </cell>
        </row>
        <row r="26">
          <cell r="G26">
            <v>0.17499999999999999</v>
          </cell>
          <cell r="I26">
            <v>467.12458758333332</v>
          </cell>
        </row>
        <row r="27">
          <cell r="G27">
            <v>0.2</v>
          </cell>
          <cell r="I27">
            <v>512.33019283333329</v>
          </cell>
        </row>
        <row r="28">
          <cell r="G28">
            <v>0.3</v>
          </cell>
          <cell r="I28">
            <v>542.467263</v>
          </cell>
        </row>
        <row r="29">
          <cell r="G29">
            <v>0.4</v>
          </cell>
          <cell r="I29">
            <v>557.53579808333336</v>
          </cell>
        </row>
      </sheetData>
      <sheetData sheetId="6">
        <row r="19">
          <cell r="G19">
            <v>0</v>
          </cell>
          <cell r="I19">
            <v>0</v>
          </cell>
        </row>
        <row r="20">
          <cell r="G20">
            <v>2.5000000000000001E-2</v>
          </cell>
          <cell r="I20">
            <v>87.397503483333352</v>
          </cell>
        </row>
        <row r="21">
          <cell r="G21">
            <v>0.05</v>
          </cell>
          <cell r="I21">
            <v>156.71276486666667</v>
          </cell>
        </row>
        <row r="22">
          <cell r="G22">
            <v>7.4999999999999997E-2</v>
          </cell>
          <cell r="I22">
            <v>223.01431923333334</v>
          </cell>
        </row>
        <row r="23">
          <cell r="G23">
            <v>0.1</v>
          </cell>
          <cell r="I23">
            <v>316.43923675000002</v>
          </cell>
        </row>
        <row r="24">
          <cell r="G24">
            <v>0.125</v>
          </cell>
          <cell r="I24">
            <v>385.75449813333336</v>
          </cell>
        </row>
        <row r="25">
          <cell r="G25">
            <v>0.15</v>
          </cell>
          <cell r="I25">
            <v>458.08346653333336</v>
          </cell>
        </row>
        <row r="26">
          <cell r="G26">
            <v>0.17499999999999999</v>
          </cell>
          <cell r="I26">
            <v>554.52209106666669</v>
          </cell>
        </row>
        <row r="27">
          <cell r="G27">
            <v>0.2</v>
          </cell>
          <cell r="I27">
            <v>608.76881736666667</v>
          </cell>
        </row>
        <row r="28">
          <cell r="G28">
            <v>0.3</v>
          </cell>
          <cell r="I28">
            <v>638.90588753333338</v>
          </cell>
        </row>
        <row r="29">
          <cell r="G29">
            <v>0.4</v>
          </cell>
          <cell r="I29">
            <v>650.96071560000007</v>
          </cell>
        </row>
      </sheetData>
      <sheetData sheetId="7">
        <row r="19">
          <cell r="G19">
            <v>0</v>
          </cell>
          <cell r="I19">
            <v>0</v>
          </cell>
        </row>
        <row r="20">
          <cell r="G20">
            <v>2.5000000000000001E-2</v>
          </cell>
          <cell r="I20">
            <v>117.53457365000001</v>
          </cell>
        </row>
        <row r="21">
          <cell r="G21">
            <v>0.05</v>
          </cell>
          <cell r="I21">
            <v>216.98690520000002</v>
          </cell>
        </row>
        <row r="22">
          <cell r="G22">
            <v>7.4999999999999997E-2</v>
          </cell>
          <cell r="I22">
            <v>310.41182271666668</v>
          </cell>
        </row>
        <row r="23">
          <cell r="G23">
            <v>0.1</v>
          </cell>
          <cell r="I23">
            <v>427.9463963666667</v>
          </cell>
        </row>
        <row r="24">
          <cell r="G24">
            <v>0.125</v>
          </cell>
          <cell r="I24">
            <v>539.45355598333333</v>
          </cell>
        </row>
        <row r="25">
          <cell r="G25">
            <v>0.15</v>
          </cell>
          <cell r="I25">
            <v>647.94700858333329</v>
          </cell>
        </row>
        <row r="26">
          <cell r="G26">
            <v>0.17499999999999999</v>
          </cell>
          <cell r="I26">
            <v>768.49528925000004</v>
          </cell>
        </row>
        <row r="27">
          <cell r="G27">
            <v>0.2</v>
          </cell>
          <cell r="I27">
            <v>828.76942958333348</v>
          </cell>
        </row>
        <row r="28">
          <cell r="G28">
            <v>0.3</v>
          </cell>
          <cell r="I28">
            <v>873.97503483333332</v>
          </cell>
        </row>
        <row r="29">
          <cell r="G29">
            <v>0.4</v>
          </cell>
          <cell r="I29">
            <v>889.0435699166668</v>
          </cell>
        </row>
      </sheetData>
      <sheetData sheetId="8">
        <row r="17">
          <cell r="F17">
            <v>1.9639331314992763</v>
          </cell>
          <cell r="G17">
            <v>1.9961502815997718</v>
          </cell>
          <cell r="H17">
            <v>2.1499714799701639</v>
          </cell>
        </row>
        <row r="18">
          <cell r="F18">
            <v>34.155346188888885</v>
          </cell>
          <cell r="G18">
            <v>40.584587824444448</v>
          </cell>
          <cell r="H18">
            <v>55.251295305555573</v>
          </cell>
        </row>
        <row r="29">
          <cell r="K29">
            <v>2.1179999999999999</v>
          </cell>
          <cell r="L29">
            <v>0</v>
          </cell>
        </row>
        <row r="30">
          <cell r="K30">
            <v>2.1179999999999999</v>
          </cell>
          <cell r="L30">
            <v>0</v>
          </cell>
        </row>
        <row r="31">
          <cell r="K31">
            <v>2.1179999999999999</v>
          </cell>
          <cell r="L31">
            <v>0</v>
          </cell>
        </row>
        <row r="40">
          <cell r="K40">
            <v>2.1179999999999999</v>
          </cell>
          <cell r="L40">
            <v>53</v>
          </cell>
        </row>
      </sheetData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>
    <pageSetUpPr fitToPage="1"/>
  </sheetPr>
  <dimension ref="A1:AL65"/>
  <sheetViews>
    <sheetView showGridLines="0" view="pageBreakPreview" topLeftCell="A33" zoomScaleNormal="85" zoomScaleSheetLayoutView="100" workbookViewId="0">
      <selection activeCell="B15" sqref="B15:D15"/>
    </sheetView>
  </sheetViews>
  <sheetFormatPr defaultColWidth="9.109375" defaultRowHeight="16.2"/>
  <cols>
    <col min="1" max="1" width="3.6640625" style="1" customWidth="1"/>
    <col min="2" max="3" width="4.33203125" style="1" customWidth="1"/>
    <col min="4" max="4" width="5.33203125" style="1" customWidth="1"/>
    <col min="5" max="5" width="6.44140625" style="1" customWidth="1"/>
    <col min="6" max="7" width="6.5546875" style="1" customWidth="1"/>
    <col min="8" max="14" width="6.109375" style="1" customWidth="1"/>
    <col min="15" max="15" width="6.33203125" style="1" customWidth="1"/>
    <col min="16" max="16" width="8.5546875" style="1" customWidth="1"/>
    <col min="17" max="17" width="4.6640625" style="1" customWidth="1"/>
    <col min="18" max="18" width="7.44140625" style="1" customWidth="1"/>
    <col min="19" max="19" width="6.109375" style="1" customWidth="1"/>
    <col min="20" max="20" width="6.21875" style="1" customWidth="1"/>
    <col min="21" max="21" width="7.6640625" style="1" customWidth="1"/>
    <col min="22" max="22" width="11.109375" style="1" customWidth="1"/>
    <col min="23" max="23" width="7.6640625" style="1" customWidth="1"/>
    <col min="24" max="24" width="7.6640625" style="1" hidden="1" customWidth="1"/>
    <col min="25" max="29" width="7.6640625" style="1" customWidth="1"/>
    <col min="30" max="16384" width="9.109375" style="1"/>
  </cols>
  <sheetData>
    <row r="1" spans="1:38" ht="20.100000000000001" customHeight="1">
      <c r="A1" s="36"/>
      <c r="B1" s="160" t="s">
        <v>7</v>
      </c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37"/>
    </row>
    <row r="2" spans="1:38" ht="15.9" customHeight="1">
      <c r="A2" s="38"/>
      <c r="B2" s="144" t="s">
        <v>8</v>
      </c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39"/>
    </row>
    <row r="3" spans="1:38" ht="15.9" customHeight="1">
      <c r="A3" s="38"/>
      <c r="B3" s="144" t="s">
        <v>10</v>
      </c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39"/>
    </row>
    <row r="4" spans="1:38" ht="15.9" customHeight="1">
      <c r="A4" s="38"/>
      <c r="B4" s="161" t="s">
        <v>9</v>
      </c>
      <c r="C4" s="161"/>
      <c r="D4" s="161"/>
      <c r="E4" s="161"/>
      <c r="F4" s="161"/>
      <c r="G4" s="161"/>
      <c r="H4" s="161"/>
      <c r="I4" s="161"/>
      <c r="J4" s="161"/>
      <c r="K4" s="161"/>
      <c r="L4" s="161"/>
      <c r="M4" s="161"/>
      <c r="N4" s="161"/>
      <c r="O4" s="161"/>
      <c r="P4" s="161"/>
      <c r="Q4" s="39"/>
    </row>
    <row r="5" spans="1:38" ht="15.9" customHeight="1">
      <c r="A5" s="40"/>
      <c r="B5" s="162" t="s">
        <v>11</v>
      </c>
      <c r="C5" s="162"/>
      <c r="D5" s="162"/>
      <c r="E5" s="162"/>
      <c r="F5" s="162"/>
      <c r="G5" s="162"/>
      <c r="H5" s="162"/>
      <c r="I5" s="162"/>
      <c r="J5" s="162"/>
      <c r="K5" s="162"/>
      <c r="L5" s="162"/>
      <c r="M5" s="162"/>
      <c r="N5" s="162"/>
      <c r="O5" s="162"/>
      <c r="P5" s="162"/>
      <c r="Q5" s="41"/>
    </row>
    <row r="6" spans="1:38" ht="15.9" customHeight="1">
      <c r="A6" s="38"/>
      <c r="B6" s="167" t="s">
        <v>12</v>
      </c>
      <c r="C6" s="167"/>
      <c r="D6" s="167"/>
      <c r="E6" s="167"/>
      <c r="F6" s="167"/>
      <c r="G6" s="167"/>
      <c r="H6" s="167"/>
      <c r="I6" s="167"/>
      <c r="O6" s="3" t="s">
        <v>42</v>
      </c>
      <c r="Q6" s="39"/>
    </row>
    <row r="7" spans="1:38" ht="19.5" customHeight="1">
      <c r="A7" s="40"/>
      <c r="B7" s="168" t="s">
        <v>26</v>
      </c>
      <c r="C7" s="169"/>
      <c r="D7" s="169"/>
      <c r="E7" s="169"/>
      <c r="F7" s="169"/>
      <c r="G7" s="169"/>
      <c r="H7" s="169"/>
      <c r="I7" s="169"/>
      <c r="J7" s="169"/>
      <c r="K7" s="169"/>
      <c r="L7" s="169"/>
      <c r="M7" s="4"/>
      <c r="N7" s="4"/>
      <c r="O7" s="26" t="s">
        <v>46</v>
      </c>
      <c r="P7" s="179">
        <f>F11+6</f>
        <v>45906</v>
      </c>
      <c r="Q7" s="180"/>
    </row>
    <row r="8" spans="1:38" ht="19.2" customHeight="1">
      <c r="A8" s="170" t="s">
        <v>47</v>
      </c>
      <c r="B8" s="171"/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2"/>
    </row>
    <row r="9" spans="1:38" ht="34.799999999999997" customHeight="1">
      <c r="A9" s="173" t="s">
        <v>24</v>
      </c>
      <c r="B9" s="174"/>
      <c r="C9" s="174"/>
      <c r="D9" s="174"/>
      <c r="E9" s="174"/>
      <c r="F9" s="174"/>
      <c r="G9" s="174"/>
      <c r="H9" s="174"/>
      <c r="I9" s="174"/>
      <c r="J9" s="174"/>
      <c r="K9" s="174"/>
      <c r="L9" s="174"/>
      <c r="M9" s="174"/>
      <c r="N9" s="174"/>
      <c r="O9" s="174"/>
      <c r="P9" s="174"/>
      <c r="Q9" s="175"/>
    </row>
    <row r="10" spans="1:38" ht="36" customHeight="1">
      <c r="A10" s="176" t="s">
        <v>25</v>
      </c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7"/>
      <c r="Q10" s="178"/>
      <c r="AF10" s="23"/>
      <c r="AG10" s="23"/>
      <c r="AH10" s="23"/>
      <c r="AI10" s="23"/>
      <c r="AJ10" s="23"/>
      <c r="AK10" s="23"/>
      <c r="AL10" s="23"/>
    </row>
    <row r="11" spans="1:38" ht="20.100000000000001" customHeight="1">
      <c r="A11" s="38"/>
      <c r="B11" s="163" t="s">
        <v>43</v>
      </c>
      <c r="C11" s="164"/>
      <c r="D11" s="164"/>
      <c r="E11" s="164"/>
      <c r="F11" s="165">
        <v>45900</v>
      </c>
      <c r="G11" s="165"/>
      <c r="H11" s="165"/>
      <c r="I11" s="42"/>
      <c r="J11" s="42"/>
      <c r="K11" s="42"/>
      <c r="L11" s="43"/>
      <c r="Q11" s="39"/>
    </row>
    <row r="12" spans="1:38" ht="15.9" customHeight="1">
      <c r="A12" s="38"/>
      <c r="B12" s="166" t="s">
        <v>44</v>
      </c>
      <c r="C12" s="166"/>
      <c r="D12" s="166"/>
      <c r="E12" s="166"/>
      <c r="F12" s="139" t="s">
        <v>45</v>
      </c>
      <c r="G12" s="139"/>
      <c r="H12" s="139"/>
      <c r="I12" s="139"/>
      <c r="J12" s="139"/>
      <c r="K12" s="139"/>
      <c r="L12" s="139"/>
      <c r="N12" s="139" t="s">
        <v>3</v>
      </c>
      <c r="O12" s="139"/>
      <c r="P12" s="139"/>
      <c r="Q12" s="39"/>
    </row>
    <row r="13" spans="1:38" ht="15.9" customHeight="1">
      <c r="A13" s="38"/>
      <c r="B13" s="138" t="s">
        <v>48</v>
      </c>
      <c r="C13" s="138"/>
      <c r="D13" s="138"/>
      <c r="E13" s="138"/>
      <c r="F13" s="138"/>
      <c r="G13" s="138"/>
      <c r="H13" s="138"/>
      <c r="I13" s="139" t="s">
        <v>49</v>
      </c>
      <c r="J13" s="139"/>
      <c r="K13" s="22"/>
      <c r="N13" s="44" t="s">
        <v>4</v>
      </c>
      <c r="O13" s="35"/>
      <c r="P13" s="100">
        <v>0</v>
      </c>
      <c r="Q13" s="39"/>
    </row>
    <row r="14" spans="1:38" ht="15.9" customHeight="1">
      <c r="A14" s="38"/>
      <c r="B14" s="145" t="s">
        <v>32</v>
      </c>
      <c r="C14" s="146"/>
      <c r="D14" s="146"/>
      <c r="E14" s="46">
        <v>3</v>
      </c>
      <c r="F14" s="21"/>
      <c r="G14" s="21"/>
      <c r="H14" s="21"/>
      <c r="I14" s="21"/>
      <c r="J14" s="21"/>
      <c r="K14" s="21"/>
      <c r="N14" s="44" t="s">
        <v>5</v>
      </c>
      <c r="O14" s="35"/>
      <c r="P14" s="101">
        <v>0</v>
      </c>
      <c r="Q14" s="39"/>
    </row>
    <row r="15" spans="1:38" ht="15.9" customHeight="1">
      <c r="A15" s="38"/>
      <c r="B15" s="146" t="s">
        <v>33</v>
      </c>
      <c r="C15" s="146"/>
      <c r="D15" s="146"/>
      <c r="E15" s="46">
        <v>50</v>
      </c>
      <c r="N15" s="44" t="s">
        <v>6</v>
      </c>
      <c r="O15" s="35"/>
      <c r="P15" s="134">
        <v>0</v>
      </c>
      <c r="Q15" s="39"/>
    </row>
    <row r="16" spans="1:38" ht="15.9" customHeight="1" thickBot="1">
      <c r="A16" s="38"/>
      <c r="B16" s="149" t="s">
        <v>35</v>
      </c>
      <c r="C16" s="149"/>
      <c r="D16" s="149"/>
      <c r="E16" s="147">
        <f>500*(E15-1)</f>
        <v>24500</v>
      </c>
      <c r="F16" s="147"/>
      <c r="G16" s="27"/>
      <c r="H16" s="27" t="s">
        <v>36</v>
      </c>
      <c r="I16" s="148">
        <f>E15*500</f>
        <v>25000</v>
      </c>
      <c r="J16" s="148"/>
      <c r="K16" s="148"/>
      <c r="L16" s="1" t="s">
        <v>41</v>
      </c>
      <c r="N16" s="44"/>
      <c r="O16" s="35"/>
      <c r="P16" s="45"/>
      <c r="Q16" s="39"/>
    </row>
    <row r="17" spans="1:17" ht="45" customHeight="1" thickTop="1" thickBot="1">
      <c r="A17" s="38"/>
      <c r="B17" s="140" t="s">
        <v>2</v>
      </c>
      <c r="C17" s="141"/>
      <c r="D17" s="142"/>
      <c r="E17" s="8">
        <v>100</v>
      </c>
      <c r="F17" s="8">
        <v>75</v>
      </c>
      <c r="G17" s="9">
        <v>63</v>
      </c>
      <c r="H17" s="9">
        <v>50</v>
      </c>
      <c r="I17" s="9">
        <v>37.5</v>
      </c>
      <c r="J17" s="9">
        <v>25</v>
      </c>
      <c r="K17" s="9">
        <v>19</v>
      </c>
      <c r="L17" s="9">
        <v>9.5</v>
      </c>
      <c r="M17" s="10">
        <v>4.75</v>
      </c>
      <c r="N17" s="11">
        <v>2</v>
      </c>
      <c r="O17" s="6">
        <v>0.42499999999999999</v>
      </c>
      <c r="P17" s="7">
        <v>7.4999999999999997E-2</v>
      </c>
      <c r="Q17" s="39"/>
    </row>
    <row r="18" spans="1:17" ht="33.75" customHeight="1" thickTop="1" thickBot="1">
      <c r="A18" s="38"/>
      <c r="B18" s="150" t="s">
        <v>1</v>
      </c>
      <c r="C18" s="151"/>
      <c r="D18" s="152"/>
      <c r="E18" s="24">
        <v>100</v>
      </c>
      <c r="F18" s="24">
        <v>100</v>
      </c>
      <c r="G18" s="24">
        <v>100</v>
      </c>
      <c r="H18" s="24">
        <v>100</v>
      </c>
      <c r="I18" s="24">
        <v>94.2</v>
      </c>
      <c r="J18" s="24">
        <v>90.1</v>
      </c>
      <c r="K18" s="24">
        <v>84.8</v>
      </c>
      <c r="L18" s="24">
        <v>73.2</v>
      </c>
      <c r="M18" s="24">
        <v>61.2</v>
      </c>
      <c r="N18" s="24">
        <v>48.3</v>
      </c>
      <c r="O18" s="24">
        <v>34.6</v>
      </c>
      <c r="P18" s="24">
        <v>15.6</v>
      </c>
      <c r="Q18" s="47"/>
    </row>
    <row r="19" spans="1:17" ht="36" customHeight="1" thickTop="1" thickBot="1">
      <c r="A19" s="38"/>
      <c r="B19" s="140" t="s">
        <v>37</v>
      </c>
      <c r="C19" s="141"/>
      <c r="D19" s="142"/>
      <c r="E19" s="8">
        <v>100</v>
      </c>
      <c r="F19" s="157" t="s">
        <v>34</v>
      </c>
      <c r="G19" s="158"/>
      <c r="H19" s="158"/>
      <c r="I19" s="158"/>
      <c r="J19" s="158"/>
      <c r="K19" s="158"/>
      <c r="L19" s="158"/>
      <c r="M19" s="158"/>
      <c r="N19" s="158"/>
      <c r="O19" s="159"/>
      <c r="P19" s="25">
        <v>30</v>
      </c>
      <c r="Q19" s="39"/>
    </row>
    <row r="20" spans="1:17" ht="19.5" customHeight="1" thickTop="1">
      <c r="A20" s="38"/>
      <c r="Q20" s="39"/>
    </row>
    <row r="21" spans="1:17" ht="20.100000000000001" customHeight="1">
      <c r="A21" s="38"/>
      <c r="Q21" s="39"/>
    </row>
    <row r="22" spans="1:17" ht="20.100000000000001" customHeight="1">
      <c r="A22" s="38"/>
      <c r="Q22" s="39"/>
    </row>
    <row r="23" spans="1:17" ht="20.100000000000001" customHeight="1">
      <c r="A23" s="38"/>
      <c r="Q23" s="39"/>
    </row>
    <row r="24" spans="1:17" ht="20.100000000000001" customHeight="1">
      <c r="A24" s="38"/>
      <c r="Q24" s="39"/>
    </row>
    <row r="25" spans="1:17" ht="20.100000000000001" customHeight="1">
      <c r="A25" s="38"/>
      <c r="Q25" s="39"/>
    </row>
    <row r="26" spans="1:17" ht="20.100000000000001" customHeight="1">
      <c r="A26" s="38"/>
      <c r="Q26" s="39"/>
    </row>
    <row r="27" spans="1:17" ht="20.100000000000001" customHeight="1">
      <c r="A27" s="38"/>
      <c r="Q27" s="39"/>
    </row>
    <row r="28" spans="1:17" ht="20.100000000000001" customHeight="1">
      <c r="A28" s="38"/>
      <c r="Q28" s="39"/>
    </row>
    <row r="29" spans="1:17" ht="20.100000000000001" customHeight="1">
      <c r="A29" s="38"/>
      <c r="Q29" s="39"/>
    </row>
    <row r="30" spans="1:17" ht="20.100000000000001" customHeight="1">
      <c r="A30" s="38"/>
      <c r="Q30" s="39"/>
    </row>
    <row r="31" spans="1:17" ht="20.100000000000001" customHeight="1">
      <c r="A31" s="38"/>
      <c r="Q31" s="39"/>
    </row>
    <row r="32" spans="1:17" ht="20.100000000000001" customHeight="1">
      <c r="A32" s="38"/>
      <c r="Q32" s="39"/>
    </row>
    <row r="33" spans="1:19" ht="20.100000000000001" customHeight="1">
      <c r="A33" s="38"/>
      <c r="Q33" s="39"/>
    </row>
    <row r="34" spans="1:19" ht="20.100000000000001" customHeight="1">
      <c r="A34" s="38"/>
      <c r="Q34" s="39"/>
    </row>
    <row r="35" spans="1:19" ht="33" customHeight="1">
      <c r="A35" s="38"/>
      <c r="Q35" s="39"/>
    </row>
    <row r="36" spans="1:19" ht="33" customHeight="1">
      <c r="A36" s="38"/>
      <c r="B36" s="153" t="s">
        <v>40</v>
      </c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5"/>
      <c r="Q36" s="39"/>
    </row>
    <row r="37" spans="1:19" ht="15.9" customHeight="1">
      <c r="A37" s="38"/>
      <c r="B37" s="48" t="s">
        <v>0</v>
      </c>
      <c r="Q37" s="39"/>
    </row>
    <row r="38" spans="1:19" ht="45" customHeight="1">
      <c r="A38" s="40"/>
      <c r="B38" s="156" t="s">
        <v>31</v>
      </c>
      <c r="C38" s="156"/>
      <c r="D38" s="156"/>
      <c r="E38" s="156"/>
      <c r="F38" s="156"/>
      <c r="G38" s="156"/>
      <c r="H38" s="156"/>
      <c r="I38" s="156"/>
      <c r="J38" s="156"/>
      <c r="K38" s="156"/>
      <c r="L38" s="156"/>
      <c r="M38" s="156"/>
      <c r="N38" s="156"/>
      <c r="O38" s="156"/>
      <c r="P38" s="156"/>
      <c r="Q38" s="41"/>
    </row>
    <row r="39" spans="1:19" ht="13.2" customHeight="1">
      <c r="A39" s="49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50"/>
    </row>
    <row r="40" spans="1:19" ht="19.2" customHeight="1">
      <c r="A40" s="38"/>
      <c r="B40" s="143" t="s">
        <v>30</v>
      </c>
      <c r="C40" s="143"/>
      <c r="D40" s="143"/>
      <c r="E40" s="143"/>
      <c r="F40" s="143"/>
      <c r="G40" s="143"/>
      <c r="H40" s="143"/>
      <c r="K40" s="144" t="s">
        <v>27</v>
      </c>
      <c r="L40" s="144"/>
      <c r="M40" s="144"/>
      <c r="N40" s="144"/>
      <c r="O40" s="144"/>
      <c r="P40" s="144"/>
      <c r="Q40" s="39"/>
    </row>
    <row r="41" spans="1:19" ht="13.2" customHeight="1" thickBot="1">
      <c r="A41" s="51"/>
      <c r="B41" s="52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4"/>
      <c r="Q41" s="55"/>
    </row>
    <row r="42" spans="1:19" ht="15.75" customHeight="1"/>
    <row r="43" spans="1:19" ht="15" customHeight="1"/>
    <row r="44" spans="1:19" ht="15" customHeight="1">
      <c r="S44" s="5"/>
    </row>
    <row r="45" spans="1:19" ht="15" customHeight="1">
      <c r="S45" s="5"/>
    </row>
    <row r="46" spans="1:19" ht="15" customHeight="1">
      <c r="S46" s="5"/>
    </row>
    <row r="47" spans="1:19" ht="15" customHeight="1"/>
    <row r="48" spans="1:19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</sheetData>
  <sheetProtection selectLockedCells="1"/>
  <mergeCells count="31">
    <mergeCell ref="B6:I6"/>
    <mergeCell ref="B7:L7"/>
    <mergeCell ref="A8:Q8"/>
    <mergeCell ref="A9:Q9"/>
    <mergeCell ref="A10:Q10"/>
    <mergeCell ref="P7:Q7"/>
    <mergeCell ref="N12:P12"/>
    <mergeCell ref="B11:E11"/>
    <mergeCell ref="F11:H11"/>
    <mergeCell ref="F12:L12"/>
    <mergeCell ref="B12:E12"/>
    <mergeCell ref="B1:P1"/>
    <mergeCell ref="B2:P2"/>
    <mergeCell ref="B3:P3"/>
    <mergeCell ref="B4:P4"/>
    <mergeCell ref="B5:P5"/>
    <mergeCell ref="B13:H13"/>
    <mergeCell ref="I13:J13"/>
    <mergeCell ref="B17:D17"/>
    <mergeCell ref="B40:H40"/>
    <mergeCell ref="K40:P40"/>
    <mergeCell ref="B14:D14"/>
    <mergeCell ref="B15:D15"/>
    <mergeCell ref="E16:F16"/>
    <mergeCell ref="I16:K16"/>
    <mergeCell ref="B16:D16"/>
    <mergeCell ref="B18:D18"/>
    <mergeCell ref="B36:P36"/>
    <mergeCell ref="B38:P38"/>
    <mergeCell ref="B19:D19"/>
    <mergeCell ref="F19:O19"/>
  </mergeCells>
  <phoneticPr fontId="5" type="noConversion"/>
  <conditionalFormatting sqref="P13">
    <cfRule type="cellIs" dxfId="0" priority="1" operator="equal">
      <formula>0</formula>
    </cfRule>
  </conditionalFormatting>
  <dataValidations disablePrompts="1" count="1">
    <dataValidation type="list" allowBlank="1" showInputMessage="1" showErrorMessage="1" sqref="R15:S16" xr:uid="{00000000-0002-0000-0300-000000000000}">
      <formula1>"Cumulated,Uncumulated"</formula1>
    </dataValidation>
  </dataValidations>
  <printOptions horizontalCentered="1" verticalCentered="1"/>
  <pageMargins left="0" right="0" top="0.196850393700787" bottom="0.118110236220472" header="0" footer="0"/>
  <pageSetup paperSize="9" scale="90" orientation="portrait" r:id="rId1"/>
  <rowBreaks count="1" manualBreakCount="1">
    <brk id="41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3" tint="0.59999389629810485"/>
    <pageSetUpPr fitToPage="1"/>
  </sheetPr>
  <dimension ref="A1:IV37"/>
  <sheetViews>
    <sheetView showGridLines="0" view="pageBreakPreview" zoomScaleNormal="100" zoomScaleSheetLayoutView="100" workbookViewId="0">
      <selection activeCell="J7" sqref="J7:K7"/>
    </sheetView>
  </sheetViews>
  <sheetFormatPr defaultColWidth="9.109375" defaultRowHeight="13.2"/>
  <cols>
    <col min="1" max="1" width="2.6640625" style="12" customWidth="1"/>
    <col min="2" max="2" width="2.88671875" style="12" customWidth="1"/>
    <col min="3" max="4" width="12.33203125" style="12" customWidth="1"/>
    <col min="5" max="8" width="10.6640625" style="12" customWidth="1"/>
    <col min="9" max="10" width="11.6640625" style="12" customWidth="1"/>
    <col min="11" max="11" width="2.6640625" style="12" customWidth="1"/>
    <col min="12" max="16384" width="9.109375" style="12"/>
  </cols>
  <sheetData>
    <row r="1" spans="1:256" ht="17.399999999999999">
      <c r="A1" s="199" t="s">
        <v>20</v>
      </c>
      <c r="B1" s="200"/>
      <c r="C1" s="200"/>
      <c r="D1" s="200"/>
      <c r="E1" s="200"/>
      <c r="F1" s="200"/>
      <c r="G1" s="200"/>
      <c r="H1" s="200"/>
      <c r="I1" s="200"/>
      <c r="J1" s="200"/>
      <c r="K1" s="201"/>
    </row>
    <row r="2" spans="1:256" ht="15.6" customHeight="1">
      <c r="A2" s="202" t="s">
        <v>19</v>
      </c>
      <c r="B2" s="203"/>
      <c r="C2" s="203"/>
      <c r="D2" s="203"/>
      <c r="E2" s="203"/>
      <c r="F2" s="203"/>
      <c r="G2" s="203"/>
      <c r="H2" s="203"/>
      <c r="I2" s="203"/>
      <c r="J2" s="203"/>
      <c r="K2" s="204"/>
    </row>
    <row r="3" spans="1:256" ht="15.6" customHeight="1">
      <c r="A3" s="202" t="s">
        <v>10</v>
      </c>
      <c r="B3" s="203"/>
      <c r="C3" s="203"/>
      <c r="D3" s="203"/>
      <c r="E3" s="203"/>
      <c r="F3" s="203"/>
      <c r="G3" s="203"/>
      <c r="H3" s="203"/>
      <c r="I3" s="203"/>
      <c r="J3" s="203"/>
      <c r="K3" s="204"/>
    </row>
    <row r="4" spans="1:256" s="21" customFormat="1" ht="15.9" customHeight="1">
      <c r="A4" s="28"/>
      <c r="B4" s="181" t="s">
        <v>9</v>
      </c>
      <c r="C4" s="181"/>
      <c r="D4" s="181"/>
      <c r="E4" s="181"/>
      <c r="F4" s="181"/>
      <c r="G4" s="181"/>
      <c r="H4" s="181"/>
      <c r="I4" s="181"/>
      <c r="J4" s="181"/>
      <c r="K4" s="32"/>
    </row>
    <row r="5" spans="1:256" s="21" customFormat="1" ht="15.9" customHeight="1">
      <c r="A5" s="28"/>
      <c r="B5" s="181" t="s">
        <v>11</v>
      </c>
      <c r="C5" s="181"/>
      <c r="D5" s="181"/>
      <c r="E5" s="181"/>
      <c r="F5" s="181"/>
      <c r="G5" s="181"/>
      <c r="H5" s="181"/>
      <c r="I5" s="181"/>
      <c r="J5" s="181"/>
      <c r="K5" s="32"/>
    </row>
    <row r="6" spans="1:256" s="21" customFormat="1" ht="31.8" customHeight="1">
      <c r="A6" s="29"/>
      <c r="B6" s="206" t="s">
        <v>21</v>
      </c>
      <c r="C6" s="206"/>
      <c r="D6" s="206"/>
      <c r="E6" s="206"/>
      <c r="F6" s="206"/>
      <c r="G6" s="206"/>
      <c r="H6" s="206"/>
      <c r="I6" s="206" t="str">
        <f>Report!O6</f>
        <v>File No.5143</v>
      </c>
      <c r="J6" s="206"/>
      <c r="K6" s="31"/>
    </row>
    <row r="7" spans="1:256" s="21" customFormat="1" ht="31.8" customHeight="1">
      <c r="A7" s="30"/>
      <c r="B7" s="207" t="str">
        <f>Report!B7</f>
        <v>Project Spec :- Section 31 23 16.33 ( Excavation, Fill and Subgrade)</v>
      </c>
      <c r="C7" s="207"/>
      <c r="D7" s="207"/>
      <c r="E7" s="207"/>
      <c r="F7" s="207"/>
      <c r="G7" s="207"/>
      <c r="H7" s="207"/>
      <c r="I7" s="98" t="str">
        <f>Report!O7</f>
        <v>Date :</v>
      </c>
      <c r="J7" s="210">
        <f>Report!P7</f>
        <v>45906</v>
      </c>
      <c r="K7" s="211"/>
    </row>
    <row r="8" spans="1:256" s="20" customFormat="1" ht="26.25" customHeight="1">
      <c r="A8" s="190" t="s">
        <v>18</v>
      </c>
      <c r="B8" s="191"/>
      <c r="C8" s="191"/>
      <c r="D8" s="191"/>
      <c r="E8" s="191"/>
      <c r="F8" s="191"/>
      <c r="G8" s="191"/>
      <c r="H8" s="191"/>
      <c r="I8" s="191"/>
      <c r="J8" s="191"/>
      <c r="K8" s="192"/>
    </row>
    <row r="9" spans="1:256" s="15" customFormat="1" ht="26.25" customHeight="1">
      <c r="A9" s="193" t="s">
        <v>28</v>
      </c>
      <c r="B9" s="194"/>
      <c r="C9" s="194"/>
      <c r="D9" s="194"/>
      <c r="E9" s="194"/>
      <c r="F9" s="194"/>
      <c r="G9" s="194"/>
      <c r="H9" s="194"/>
      <c r="I9" s="194"/>
      <c r="J9" s="194"/>
      <c r="K9" s="195"/>
    </row>
    <row r="10" spans="1:256" s="15" customFormat="1" ht="22.8" customHeight="1">
      <c r="A10" s="56"/>
      <c r="B10" s="19"/>
      <c r="C10" s="212" t="str">
        <f>Report!B11</f>
        <v>Sample delivery date:</v>
      </c>
      <c r="D10" s="212"/>
      <c r="E10" s="215">
        <v>45900</v>
      </c>
      <c r="F10" s="215"/>
      <c r="G10" s="99"/>
      <c r="H10" s="80"/>
      <c r="I10" s="80"/>
      <c r="J10" s="80"/>
      <c r="K10" s="57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 t="s">
        <v>17</v>
      </c>
      <c r="BT10" s="19" t="s">
        <v>17</v>
      </c>
      <c r="BU10" s="19" t="s">
        <v>17</v>
      </c>
      <c r="BV10" s="19" t="s">
        <v>17</v>
      </c>
      <c r="BW10" s="19" t="s">
        <v>17</v>
      </c>
      <c r="BX10" s="19" t="s">
        <v>17</v>
      </c>
      <c r="BY10" s="19" t="s">
        <v>17</v>
      </c>
      <c r="BZ10" s="19" t="s">
        <v>17</v>
      </c>
      <c r="CA10" s="19" t="s">
        <v>17</v>
      </c>
      <c r="CB10" s="19" t="s">
        <v>17</v>
      </c>
      <c r="CC10" s="19" t="s">
        <v>17</v>
      </c>
      <c r="CD10" s="19" t="s">
        <v>17</v>
      </c>
      <c r="CE10" s="19" t="s">
        <v>17</v>
      </c>
      <c r="CF10" s="19" t="s">
        <v>17</v>
      </c>
      <c r="CG10" s="19" t="s">
        <v>17</v>
      </c>
      <c r="CH10" s="19" t="s">
        <v>17</v>
      </c>
      <c r="CI10" s="19" t="s">
        <v>17</v>
      </c>
      <c r="CJ10" s="19" t="s">
        <v>17</v>
      </c>
      <c r="CK10" s="19" t="s">
        <v>17</v>
      </c>
      <c r="CL10" s="19" t="s">
        <v>17</v>
      </c>
      <c r="CM10" s="19" t="s">
        <v>17</v>
      </c>
      <c r="CN10" s="19" t="s">
        <v>17</v>
      </c>
      <c r="CO10" s="19" t="s">
        <v>17</v>
      </c>
      <c r="CP10" s="19" t="s">
        <v>17</v>
      </c>
      <c r="CQ10" s="19" t="s">
        <v>17</v>
      </c>
      <c r="CR10" s="19" t="s">
        <v>17</v>
      </c>
      <c r="CS10" s="19" t="s">
        <v>17</v>
      </c>
      <c r="CT10" s="19" t="s">
        <v>17</v>
      </c>
      <c r="CU10" s="19" t="s">
        <v>17</v>
      </c>
      <c r="CV10" s="19" t="s">
        <v>17</v>
      </c>
      <c r="CW10" s="19" t="s">
        <v>17</v>
      </c>
      <c r="CX10" s="19" t="s">
        <v>17</v>
      </c>
      <c r="CY10" s="19" t="s">
        <v>17</v>
      </c>
      <c r="CZ10" s="19" t="s">
        <v>17</v>
      </c>
      <c r="DA10" s="19" t="s">
        <v>17</v>
      </c>
      <c r="DB10" s="19" t="s">
        <v>17</v>
      </c>
      <c r="DC10" s="19" t="s">
        <v>17</v>
      </c>
      <c r="DD10" s="19" t="s">
        <v>17</v>
      </c>
      <c r="DE10" s="19" t="s">
        <v>17</v>
      </c>
      <c r="DF10" s="19" t="s">
        <v>17</v>
      </c>
      <c r="DG10" s="19" t="s">
        <v>17</v>
      </c>
      <c r="DH10" s="19" t="s">
        <v>17</v>
      </c>
      <c r="DI10" s="19" t="s">
        <v>17</v>
      </c>
      <c r="DJ10" s="19" t="s">
        <v>17</v>
      </c>
      <c r="DK10" s="19" t="s">
        <v>17</v>
      </c>
      <c r="DL10" s="19" t="s">
        <v>17</v>
      </c>
      <c r="DM10" s="19" t="s">
        <v>17</v>
      </c>
      <c r="DN10" s="19" t="s">
        <v>17</v>
      </c>
      <c r="DO10" s="19" t="s">
        <v>17</v>
      </c>
      <c r="DP10" s="19" t="s">
        <v>17</v>
      </c>
      <c r="DQ10" s="19" t="s">
        <v>17</v>
      </c>
      <c r="DR10" s="19" t="s">
        <v>17</v>
      </c>
      <c r="DS10" s="19" t="s">
        <v>17</v>
      </c>
      <c r="DT10" s="19" t="s">
        <v>17</v>
      </c>
      <c r="DU10" s="19" t="s">
        <v>17</v>
      </c>
      <c r="DV10" s="19" t="s">
        <v>17</v>
      </c>
      <c r="DW10" s="19" t="s">
        <v>17</v>
      </c>
      <c r="DX10" s="19" t="s">
        <v>17</v>
      </c>
      <c r="DY10" s="19" t="s">
        <v>17</v>
      </c>
      <c r="DZ10" s="19" t="s">
        <v>17</v>
      </c>
      <c r="EA10" s="19" t="s">
        <v>17</v>
      </c>
      <c r="EB10" s="19" t="s">
        <v>17</v>
      </c>
      <c r="EC10" s="19" t="s">
        <v>17</v>
      </c>
      <c r="ED10" s="19" t="s">
        <v>17</v>
      </c>
      <c r="EE10" s="19" t="s">
        <v>17</v>
      </c>
      <c r="EF10" s="19" t="s">
        <v>17</v>
      </c>
      <c r="EG10" s="19" t="s">
        <v>17</v>
      </c>
      <c r="EH10" s="19" t="s">
        <v>17</v>
      </c>
      <c r="EI10" s="19" t="s">
        <v>17</v>
      </c>
      <c r="EJ10" s="19" t="s">
        <v>17</v>
      </c>
      <c r="EK10" s="19" t="s">
        <v>17</v>
      </c>
      <c r="EL10" s="19" t="s">
        <v>17</v>
      </c>
      <c r="EM10" s="19" t="s">
        <v>17</v>
      </c>
      <c r="EN10" s="19" t="s">
        <v>17</v>
      </c>
      <c r="EO10" s="19" t="s">
        <v>17</v>
      </c>
      <c r="EP10" s="19" t="s">
        <v>17</v>
      </c>
      <c r="EQ10" s="19" t="s">
        <v>17</v>
      </c>
      <c r="ER10" s="19" t="s">
        <v>17</v>
      </c>
      <c r="ES10" s="19" t="s">
        <v>17</v>
      </c>
      <c r="ET10" s="19" t="s">
        <v>17</v>
      </c>
      <c r="EU10" s="19" t="s">
        <v>17</v>
      </c>
      <c r="EV10" s="19" t="s">
        <v>17</v>
      </c>
      <c r="EW10" s="19" t="s">
        <v>17</v>
      </c>
      <c r="EX10" s="19" t="s">
        <v>17</v>
      </c>
      <c r="EY10" s="19" t="s">
        <v>17</v>
      </c>
      <c r="EZ10" s="19" t="s">
        <v>17</v>
      </c>
      <c r="FA10" s="19" t="s">
        <v>17</v>
      </c>
      <c r="FB10" s="19" t="s">
        <v>17</v>
      </c>
      <c r="FC10" s="19" t="s">
        <v>17</v>
      </c>
      <c r="FD10" s="19" t="s">
        <v>17</v>
      </c>
      <c r="FE10" s="19" t="s">
        <v>17</v>
      </c>
      <c r="FF10" s="19" t="s">
        <v>17</v>
      </c>
      <c r="FG10" s="19" t="s">
        <v>17</v>
      </c>
      <c r="FH10" s="19" t="s">
        <v>17</v>
      </c>
      <c r="FI10" s="19" t="s">
        <v>17</v>
      </c>
      <c r="FJ10" s="19" t="s">
        <v>17</v>
      </c>
      <c r="FK10" s="19" t="s">
        <v>17</v>
      </c>
      <c r="FL10" s="19" t="s">
        <v>17</v>
      </c>
      <c r="FM10" s="19" t="s">
        <v>17</v>
      </c>
      <c r="FN10" s="19" t="s">
        <v>17</v>
      </c>
      <c r="FO10" s="19" t="s">
        <v>17</v>
      </c>
      <c r="FP10" s="19" t="s">
        <v>17</v>
      </c>
      <c r="FQ10" s="19" t="s">
        <v>17</v>
      </c>
      <c r="FR10" s="19" t="s">
        <v>17</v>
      </c>
      <c r="FS10" s="19" t="s">
        <v>17</v>
      </c>
      <c r="FT10" s="19" t="s">
        <v>17</v>
      </c>
      <c r="FU10" s="19" t="s">
        <v>17</v>
      </c>
      <c r="FV10" s="19" t="s">
        <v>17</v>
      </c>
      <c r="FW10" s="19" t="s">
        <v>17</v>
      </c>
      <c r="FX10" s="19" t="s">
        <v>17</v>
      </c>
      <c r="FY10" s="19" t="s">
        <v>17</v>
      </c>
      <c r="FZ10" s="19" t="s">
        <v>17</v>
      </c>
      <c r="GA10" s="19" t="s">
        <v>17</v>
      </c>
      <c r="GB10" s="19" t="s">
        <v>17</v>
      </c>
      <c r="GC10" s="19" t="s">
        <v>17</v>
      </c>
      <c r="GD10" s="19" t="s">
        <v>17</v>
      </c>
      <c r="GE10" s="19" t="s">
        <v>17</v>
      </c>
      <c r="GF10" s="19" t="s">
        <v>17</v>
      </c>
      <c r="GG10" s="19" t="s">
        <v>17</v>
      </c>
      <c r="GH10" s="19" t="s">
        <v>17</v>
      </c>
      <c r="GI10" s="19" t="s">
        <v>17</v>
      </c>
      <c r="GJ10" s="19" t="s">
        <v>17</v>
      </c>
      <c r="GK10" s="19" t="s">
        <v>17</v>
      </c>
      <c r="GL10" s="19" t="s">
        <v>17</v>
      </c>
      <c r="GM10" s="19" t="s">
        <v>17</v>
      </c>
      <c r="GN10" s="19" t="s">
        <v>17</v>
      </c>
      <c r="GO10" s="19" t="s">
        <v>17</v>
      </c>
      <c r="GP10" s="19" t="s">
        <v>17</v>
      </c>
      <c r="GQ10" s="19" t="s">
        <v>17</v>
      </c>
      <c r="GR10" s="19" t="s">
        <v>17</v>
      </c>
      <c r="GS10" s="19" t="s">
        <v>17</v>
      </c>
      <c r="GT10" s="19" t="s">
        <v>17</v>
      </c>
      <c r="GU10" s="19" t="s">
        <v>17</v>
      </c>
      <c r="GV10" s="19" t="s">
        <v>17</v>
      </c>
      <c r="GW10" s="19" t="s">
        <v>17</v>
      </c>
      <c r="GX10" s="19" t="s">
        <v>17</v>
      </c>
      <c r="GY10" s="19" t="s">
        <v>17</v>
      </c>
      <c r="GZ10" s="19" t="s">
        <v>17</v>
      </c>
      <c r="HA10" s="19" t="s">
        <v>17</v>
      </c>
      <c r="HB10" s="19" t="s">
        <v>17</v>
      </c>
      <c r="HC10" s="19" t="s">
        <v>17</v>
      </c>
      <c r="HD10" s="19" t="s">
        <v>17</v>
      </c>
      <c r="HE10" s="19" t="s">
        <v>17</v>
      </c>
      <c r="HF10" s="19" t="s">
        <v>17</v>
      </c>
      <c r="HG10" s="19" t="s">
        <v>17</v>
      </c>
      <c r="HH10" s="19" t="s">
        <v>17</v>
      </c>
      <c r="HI10" s="19" t="s">
        <v>17</v>
      </c>
      <c r="HJ10" s="19" t="s">
        <v>17</v>
      </c>
      <c r="HK10" s="19" t="s">
        <v>17</v>
      </c>
      <c r="HL10" s="19" t="s">
        <v>17</v>
      </c>
      <c r="HM10" s="19" t="s">
        <v>17</v>
      </c>
      <c r="HN10" s="19" t="s">
        <v>17</v>
      </c>
      <c r="HO10" s="19" t="s">
        <v>17</v>
      </c>
      <c r="HP10" s="19" t="s">
        <v>17</v>
      </c>
      <c r="HQ10" s="19" t="s">
        <v>17</v>
      </c>
      <c r="HR10" s="19" t="s">
        <v>17</v>
      </c>
      <c r="HS10" s="19" t="s">
        <v>17</v>
      </c>
      <c r="HT10" s="19" t="s">
        <v>17</v>
      </c>
      <c r="HU10" s="19" t="s">
        <v>17</v>
      </c>
      <c r="HV10" s="19" t="s">
        <v>17</v>
      </c>
      <c r="HW10" s="19" t="s">
        <v>17</v>
      </c>
      <c r="HX10" s="19" t="s">
        <v>17</v>
      </c>
      <c r="HY10" s="19" t="s">
        <v>17</v>
      </c>
      <c r="HZ10" s="19" t="s">
        <v>17</v>
      </c>
      <c r="IA10" s="19" t="s">
        <v>17</v>
      </c>
      <c r="IB10" s="19" t="s">
        <v>17</v>
      </c>
      <c r="IC10" s="19" t="s">
        <v>17</v>
      </c>
      <c r="ID10" s="19" t="s">
        <v>17</v>
      </c>
      <c r="IE10" s="19" t="s">
        <v>17</v>
      </c>
      <c r="IF10" s="19" t="s">
        <v>17</v>
      </c>
      <c r="IG10" s="19" t="s">
        <v>17</v>
      </c>
      <c r="IH10" s="19" t="s">
        <v>17</v>
      </c>
      <c r="II10" s="19" t="s">
        <v>17</v>
      </c>
      <c r="IJ10" s="19" t="s">
        <v>17</v>
      </c>
      <c r="IK10" s="19" t="s">
        <v>17</v>
      </c>
      <c r="IL10" s="19" t="s">
        <v>17</v>
      </c>
      <c r="IM10" s="19" t="s">
        <v>17</v>
      </c>
      <c r="IN10" s="19" t="s">
        <v>17</v>
      </c>
      <c r="IO10" s="19" t="s">
        <v>17</v>
      </c>
      <c r="IP10" s="19" t="s">
        <v>17</v>
      </c>
      <c r="IQ10" s="19" t="s">
        <v>17</v>
      </c>
      <c r="IR10" s="19" t="s">
        <v>17</v>
      </c>
      <c r="IS10" s="19" t="s">
        <v>17</v>
      </c>
      <c r="IT10" s="19" t="s">
        <v>17</v>
      </c>
      <c r="IU10" s="19" t="s">
        <v>17</v>
      </c>
      <c r="IV10" s="19" t="s">
        <v>17</v>
      </c>
    </row>
    <row r="11" spans="1:256" s="21" customFormat="1" ht="22.8" customHeight="1">
      <c r="A11" s="28"/>
      <c r="B11" s="3"/>
      <c r="C11" s="213" t="str">
        <f>Report!B12</f>
        <v xml:space="preserve">Source of material :- </v>
      </c>
      <c r="D11" s="213"/>
      <c r="E11" s="216" t="str">
        <f>Report!F12</f>
        <v>Saleh Swiker Soil 70% + Swiker Sand 30%</v>
      </c>
      <c r="F11" s="216"/>
      <c r="G11" s="216"/>
      <c r="H11" s="216"/>
      <c r="I11" s="216"/>
      <c r="J11" s="34"/>
      <c r="K11" s="39"/>
      <c r="L11" s="1"/>
    </row>
    <row r="12" spans="1:256" s="21" customFormat="1" ht="22.8" customHeight="1">
      <c r="A12" s="28"/>
      <c r="B12" s="81"/>
      <c r="C12" s="214" t="str">
        <f>Report!B13</f>
        <v xml:space="preserve">Description of the Tested Materials :- </v>
      </c>
      <c r="D12" s="214"/>
      <c r="E12" s="214"/>
      <c r="F12" s="83" t="str">
        <f>Report!I13</f>
        <v>Fill / SM</v>
      </c>
      <c r="G12" s="84"/>
      <c r="H12" s="83"/>
      <c r="I12" s="34"/>
      <c r="J12" s="34"/>
      <c r="K12" s="32"/>
    </row>
    <row r="13" spans="1:256" s="17" customFormat="1" ht="22.8" customHeight="1">
      <c r="A13" s="58"/>
      <c r="B13" s="85"/>
      <c r="C13" s="82" t="str">
        <f>Report!B14</f>
        <v xml:space="preserve">Stockpile : </v>
      </c>
      <c r="D13" s="86">
        <f>Report!E14</f>
        <v>3</v>
      </c>
      <c r="E13" s="87"/>
      <c r="F13" s="87"/>
      <c r="G13" s="87"/>
      <c r="H13" s="87"/>
      <c r="I13" s="87"/>
      <c r="J13" s="87"/>
      <c r="K13" s="59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  <c r="HN13" s="18"/>
      <c r="HO13" s="18"/>
      <c r="HP13" s="18"/>
      <c r="HQ13" s="18"/>
      <c r="HR13" s="18"/>
      <c r="HS13" s="18"/>
      <c r="HT13" s="18"/>
      <c r="HU13" s="18"/>
      <c r="HV13" s="18"/>
      <c r="HW13" s="18"/>
      <c r="HX13" s="18"/>
      <c r="HY13" s="18"/>
      <c r="HZ13" s="18"/>
      <c r="IA13" s="18"/>
      <c r="IB13" s="18"/>
      <c r="IC13" s="18"/>
      <c r="ID13" s="18"/>
      <c r="IE13" s="18"/>
      <c r="IF13" s="18"/>
      <c r="IG13" s="18"/>
      <c r="IH13" s="18"/>
      <c r="II13" s="18"/>
      <c r="IJ13" s="18"/>
      <c r="IK13" s="18"/>
      <c r="IL13" s="18"/>
      <c r="IM13" s="18"/>
      <c r="IN13" s="18"/>
      <c r="IO13" s="18"/>
      <c r="IP13" s="18"/>
      <c r="IQ13" s="18"/>
      <c r="IR13" s="18"/>
      <c r="IS13" s="18"/>
      <c r="IT13" s="18"/>
      <c r="IU13" s="18"/>
      <c r="IV13" s="18"/>
    </row>
    <row r="14" spans="1:256" s="15" customFormat="1" ht="24.9" customHeight="1">
      <c r="A14" s="60"/>
      <c r="B14" s="79"/>
      <c r="C14" s="34" t="str">
        <f>Report!B15</f>
        <v xml:space="preserve">Sample No: </v>
      </c>
      <c r="D14" s="33">
        <f>Report!E15</f>
        <v>50</v>
      </c>
      <c r="E14" s="88"/>
      <c r="F14" s="88"/>
      <c r="G14" s="88"/>
      <c r="H14" s="88"/>
      <c r="I14" s="88"/>
      <c r="J14" s="88"/>
      <c r="K14" s="61"/>
    </row>
    <row r="15" spans="1:256" s="15" customFormat="1" ht="36" customHeight="1" thickBot="1">
      <c r="A15" s="62"/>
      <c r="B15" s="89"/>
      <c r="E15" s="90"/>
      <c r="F15" s="90"/>
      <c r="G15" s="90"/>
      <c r="H15" s="90"/>
      <c r="I15" s="90"/>
      <c r="J15" s="90"/>
      <c r="K15" s="63"/>
    </row>
    <row r="16" spans="1:256" s="15" customFormat="1" ht="50.1" customHeight="1" thickTop="1">
      <c r="A16" s="62"/>
      <c r="B16" s="89"/>
      <c r="C16" s="196" t="s">
        <v>16</v>
      </c>
      <c r="D16" s="197"/>
      <c r="E16" s="197" t="s">
        <v>15</v>
      </c>
      <c r="F16" s="198"/>
      <c r="G16" s="197" t="s">
        <v>14</v>
      </c>
      <c r="H16" s="198"/>
      <c r="I16" s="197" t="s">
        <v>13</v>
      </c>
      <c r="J16" s="208"/>
      <c r="K16" s="64"/>
    </row>
    <row r="17" spans="1:12" s="15" customFormat="1" ht="58.8" customHeight="1" thickBot="1">
      <c r="A17" s="62"/>
      <c r="B17" s="89"/>
      <c r="C17" s="186">
        <f>Report!E15</f>
        <v>50</v>
      </c>
      <c r="D17" s="187"/>
      <c r="E17" s="188">
        <f>Report!P13</f>
        <v>0</v>
      </c>
      <c r="F17" s="188"/>
      <c r="G17" s="188" t="s">
        <v>23</v>
      </c>
      <c r="H17" s="188"/>
      <c r="I17" s="188">
        <f>Report!P15</f>
        <v>0</v>
      </c>
      <c r="J17" s="189"/>
      <c r="K17" s="64"/>
    </row>
    <row r="18" spans="1:12" s="15" customFormat="1" ht="39" customHeight="1" thickTop="1" thickBot="1">
      <c r="A18" s="65"/>
      <c r="B18" s="91"/>
      <c r="C18" s="182" t="s">
        <v>29</v>
      </c>
      <c r="D18" s="183"/>
      <c r="E18" s="184" t="s">
        <v>38</v>
      </c>
      <c r="F18" s="184"/>
      <c r="G18" s="184" t="s">
        <v>34</v>
      </c>
      <c r="H18" s="184"/>
      <c r="I18" s="184" t="s">
        <v>39</v>
      </c>
      <c r="J18" s="185"/>
      <c r="K18" s="66"/>
    </row>
    <row r="19" spans="1:12" s="15" customFormat="1" ht="62.4" customHeight="1" thickTop="1">
      <c r="A19" s="65"/>
      <c r="B19" s="91"/>
      <c r="C19" s="92"/>
      <c r="D19" s="92"/>
      <c r="E19" s="93"/>
      <c r="F19" s="93"/>
      <c r="G19" s="93"/>
      <c r="H19" s="93"/>
      <c r="I19" s="94"/>
      <c r="J19" s="94"/>
      <c r="K19" s="66"/>
    </row>
    <row r="20" spans="1:12" s="15" customFormat="1" ht="62.4" customHeight="1">
      <c r="A20" s="65"/>
      <c r="B20" s="91"/>
      <c r="C20" s="91"/>
      <c r="D20" s="94"/>
      <c r="E20" s="95"/>
      <c r="F20" s="95"/>
      <c r="G20" s="95"/>
      <c r="H20" s="95"/>
      <c r="I20" s="96"/>
      <c r="J20" s="94"/>
      <c r="K20" s="66"/>
    </row>
    <row r="21" spans="1:12" s="15" customFormat="1" ht="62.4" customHeight="1">
      <c r="A21" s="67"/>
      <c r="B21" s="97" t="s">
        <v>22</v>
      </c>
      <c r="K21" s="66"/>
    </row>
    <row r="22" spans="1:12" s="16" customFormat="1" ht="27.6" customHeight="1">
      <c r="A22" s="68"/>
      <c r="B22" s="209" t="str">
        <f>Report!B38</f>
        <v>The sample complies with the project specifications outlined in Section 31 23 16.33, Part 2, Item 2.1.B regarding suitable materials used for the construction of fill under pavements.</v>
      </c>
      <c r="C22" s="209"/>
      <c r="D22" s="209"/>
      <c r="E22" s="209"/>
      <c r="F22" s="209"/>
      <c r="G22" s="209"/>
      <c r="H22" s="209"/>
      <c r="I22" s="209"/>
      <c r="J22" s="209"/>
      <c r="K22" s="69"/>
    </row>
    <row r="23" spans="1:12" s="15" customFormat="1" ht="27.6" customHeight="1">
      <c r="A23" s="70"/>
      <c r="B23" s="209"/>
      <c r="C23" s="209"/>
      <c r="D23" s="209"/>
      <c r="E23" s="209"/>
      <c r="F23" s="209"/>
      <c r="G23" s="209"/>
      <c r="H23" s="209"/>
      <c r="I23" s="209"/>
      <c r="J23" s="209"/>
      <c r="K23" s="66"/>
    </row>
    <row r="24" spans="1:12" s="15" customFormat="1" ht="30" customHeight="1" thickBot="1">
      <c r="A24" s="71"/>
      <c r="K24" s="66"/>
    </row>
    <row r="25" spans="1:12" s="13" customFormat="1" ht="21.75" customHeight="1">
      <c r="A25" s="72" t="str">
        <f>Report!B40</f>
        <v>Prepared by : Eng. Alaa Hassan</v>
      </c>
      <c r="B25" s="14"/>
      <c r="C25" s="14"/>
      <c r="D25" s="14"/>
      <c r="E25" s="14"/>
      <c r="F25" s="14"/>
      <c r="G25" s="205" t="str">
        <f>Report!K40</f>
        <v>Dept. Manager : Eng. Reda El Raheb</v>
      </c>
      <c r="H25" s="205"/>
      <c r="I25" s="205"/>
      <c r="J25" s="205"/>
      <c r="K25" s="73"/>
      <c r="L25" s="12"/>
    </row>
    <row r="26" spans="1:12" s="13" customFormat="1" ht="30" customHeight="1" thickBot="1">
      <c r="A26" s="74"/>
      <c r="B26" s="75"/>
      <c r="C26" s="75"/>
      <c r="D26" s="75"/>
      <c r="E26" s="75"/>
      <c r="F26" s="76"/>
      <c r="G26" s="77"/>
      <c r="H26" s="77"/>
      <c r="I26" s="77"/>
      <c r="J26" s="77"/>
      <c r="K26" s="78"/>
      <c r="L26" s="12"/>
    </row>
    <row r="27" spans="1:12" s="13" customForma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</row>
    <row r="28" spans="1:12" s="13" customForma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</row>
    <row r="29" spans="1:12" s="13" customForma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</row>
    <row r="30" spans="1:12" s="13" customForma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</row>
    <row r="31" spans="1:12" s="13" customForma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</row>
    <row r="32" spans="1:12" s="13" customForma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</row>
    <row r="33" spans="1:12" s="13" customForma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</row>
    <row r="34" spans="1:12" s="13" customForma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</row>
    <row r="35" spans="1:12" s="13" customForma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</row>
    <row r="36" spans="1:12" s="13" customForma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</row>
    <row r="37" spans="1:12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</row>
  </sheetData>
  <mergeCells count="30">
    <mergeCell ref="A1:K1"/>
    <mergeCell ref="A2:K2"/>
    <mergeCell ref="A3:K3"/>
    <mergeCell ref="G25:J25"/>
    <mergeCell ref="I6:J6"/>
    <mergeCell ref="B6:H6"/>
    <mergeCell ref="B7:H7"/>
    <mergeCell ref="I16:J16"/>
    <mergeCell ref="B22:J23"/>
    <mergeCell ref="J7:K7"/>
    <mergeCell ref="C10:D10"/>
    <mergeCell ref="C11:D11"/>
    <mergeCell ref="C12:E12"/>
    <mergeCell ref="E10:F10"/>
    <mergeCell ref="E11:I11"/>
    <mergeCell ref="B4:J4"/>
    <mergeCell ref="B5:J5"/>
    <mergeCell ref="C18:D18"/>
    <mergeCell ref="E18:F18"/>
    <mergeCell ref="G18:H18"/>
    <mergeCell ref="I18:J18"/>
    <mergeCell ref="C17:D17"/>
    <mergeCell ref="E17:F17"/>
    <mergeCell ref="G17:H17"/>
    <mergeCell ref="I17:J17"/>
    <mergeCell ref="A8:K8"/>
    <mergeCell ref="A9:K9"/>
    <mergeCell ref="C16:D16"/>
    <mergeCell ref="E16:F16"/>
    <mergeCell ref="G16:H16"/>
  </mergeCells>
  <printOptions horizontalCentered="1" verticalCentered="1"/>
  <pageMargins left="0.45" right="0.45" top="0.5" bottom="0.5" header="0" footer="0"/>
  <pageSetup paperSize="9" scale="93" orientation="portrait" r:id="rId1"/>
  <headerFooter alignWithMargins="0"/>
  <colBreaks count="1" manualBreakCount="1">
    <brk id="1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8CE79-CB1F-4C9F-B906-469524283FC9}">
  <sheetPr codeName="Sheet3"/>
  <dimension ref="A1:S53"/>
  <sheetViews>
    <sheetView showGridLines="0" view="pageBreakPreview" topLeftCell="A23" zoomScaleNormal="80" zoomScaleSheetLayoutView="100" workbookViewId="0">
      <selection activeCell="B13" sqref="B13:E13"/>
    </sheetView>
  </sheetViews>
  <sheetFormatPr defaultColWidth="9.109375" defaultRowHeight="15.6"/>
  <cols>
    <col min="1" max="1" width="2.5546875" style="21" customWidth="1"/>
    <col min="2" max="2" width="1.6640625" style="21" customWidth="1"/>
    <col min="3" max="3" width="2.6640625" style="21" customWidth="1"/>
    <col min="4" max="4" width="15.44140625" style="21" customWidth="1"/>
    <col min="5" max="5" width="17.44140625" style="21" customWidth="1"/>
    <col min="6" max="8" width="14.44140625" style="21" customWidth="1"/>
    <col min="9" max="9" width="15.21875" style="21" customWidth="1"/>
    <col min="10" max="10" width="5.88671875" style="21" customWidth="1"/>
    <col min="11" max="11" width="13.33203125" style="21" customWidth="1"/>
    <col min="12" max="12" width="12.109375" style="21" customWidth="1"/>
    <col min="13" max="13" width="30.6640625" style="21" customWidth="1"/>
    <col min="14" max="16" width="10.6640625" style="21" customWidth="1"/>
    <col min="17" max="17" width="10.5546875" style="21" bestFit="1" customWidth="1"/>
    <col min="18" max="16384" width="9.109375" style="21"/>
  </cols>
  <sheetData>
    <row r="1" spans="1:19" ht="20.100000000000001" customHeight="1">
      <c r="A1" s="103"/>
      <c r="B1" s="235" t="s">
        <v>50</v>
      </c>
      <c r="C1" s="235"/>
      <c r="D1" s="235"/>
      <c r="E1" s="235"/>
      <c r="F1" s="235"/>
      <c r="G1" s="235"/>
      <c r="H1" s="235"/>
      <c r="I1" s="235"/>
      <c r="J1" s="236"/>
    </row>
    <row r="2" spans="1:19" ht="9.9" customHeight="1">
      <c r="A2" s="28"/>
      <c r="B2" s="124"/>
      <c r="C2" s="124"/>
      <c r="D2" s="124"/>
      <c r="E2" s="124"/>
      <c r="F2" s="124"/>
      <c r="G2" s="124"/>
      <c r="H2" s="124"/>
      <c r="I2" s="124"/>
      <c r="J2" s="104"/>
    </row>
    <row r="3" spans="1:19" ht="15.9" customHeight="1">
      <c r="A3" s="28"/>
      <c r="B3" s="237" t="s">
        <v>8</v>
      </c>
      <c r="C3" s="237"/>
      <c r="D3" s="237"/>
      <c r="E3" s="237"/>
      <c r="F3" s="237"/>
      <c r="G3" s="237"/>
      <c r="H3" s="237"/>
      <c r="I3" s="237"/>
      <c r="J3" s="238"/>
    </row>
    <row r="4" spans="1:19" ht="15.9" customHeight="1">
      <c r="A4" s="28"/>
      <c r="B4" s="237" t="s">
        <v>10</v>
      </c>
      <c r="C4" s="237"/>
      <c r="D4" s="237"/>
      <c r="E4" s="237"/>
      <c r="F4" s="237"/>
      <c r="G4" s="237"/>
      <c r="H4" s="237"/>
      <c r="I4" s="237"/>
      <c r="J4" s="238"/>
    </row>
    <row r="5" spans="1:19" ht="15.9" customHeight="1">
      <c r="A5" s="28"/>
      <c r="B5" s="181" t="s">
        <v>9</v>
      </c>
      <c r="C5" s="181"/>
      <c r="D5" s="181"/>
      <c r="E5" s="181"/>
      <c r="F5" s="181"/>
      <c r="G5" s="181"/>
      <c r="H5" s="181"/>
      <c r="I5" s="181"/>
      <c r="J5" s="239"/>
    </row>
    <row r="6" spans="1:19" ht="15.6" customHeight="1">
      <c r="A6" s="28"/>
      <c r="B6" s="181" t="s">
        <v>11</v>
      </c>
      <c r="C6" s="181"/>
      <c r="D6" s="181"/>
      <c r="E6" s="181"/>
      <c r="F6" s="181"/>
      <c r="G6" s="181"/>
      <c r="H6" s="181"/>
      <c r="I6" s="181"/>
      <c r="J6" s="239"/>
    </row>
    <row r="7" spans="1:19" ht="18" customHeight="1">
      <c r="A7" s="29"/>
      <c r="B7" s="233" t="s">
        <v>21</v>
      </c>
      <c r="C7" s="233"/>
      <c r="D7" s="233"/>
      <c r="E7" s="233"/>
      <c r="F7" s="233"/>
      <c r="G7" s="105"/>
      <c r="H7" s="106"/>
      <c r="I7" s="105" t="s">
        <v>60</v>
      </c>
      <c r="J7" s="107"/>
    </row>
    <row r="8" spans="1:19" ht="18" customHeight="1">
      <c r="A8" s="30"/>
      <c r="B8" s="234" t="s">
        <v>26</v>
      </c>
      <c r="C8" s="234"/>
      <c r="D8" s="234"/>
      <c r="E8" s="234"/>
      <c r="F8" s="234"/>
      <c r="G8" s="234"/>
      <c r="H8" s="108"/>
      <c r="I8" s="137" t="str">
        <f>"Date: " &amp; TEXT(Report!P7,"dd/mm/yyyy")</f>
        <v>Date: 06/09/2025</v>
      </c>
      <c r="J8" s="109"/>
    </row>
    <row r="9" spans="1:19" ht="24.6" customHeight="1">
      <c r="A9" s="29"/>
      <c r="B9" s="232" t="s">
        <v>51</v>
      </c>
      <c r="C9" s="232"/>
      <c r="D9" s="232"/>
      <c r="E9" s="232"/>
      <c r="F9" s="232"/>
      <c r="G9" s="232"/>
      <c r="H9" s="232"/>
      <c r="I9" s="232"/>
      <c r="J9" s="31"/>
    </row>
    <row r="10" spans="1:19" ht="24.6" customHeight="1">
      <c r="A10" s="30"/>
      <c r="B10" s="220" t="s">
        <v>52</v>
      </c>
      <c r="C10" s="220"/>
      <c r="D10" s="220"/>
      <c r="E10" s="220"/>
      <c r="F10" s="220"/>
      <c r="G10" s="220"/>
      <c r="H10" s="220"/>
      <c r="I10" s="220"/>
      <c r="J10" s="109"/>
    </row>
    <row r="11" spans="1:19" ht="20.399999999999999" customHeight="1">
      <c r="A11" s="28"/>
      <c r="B11" s="223" t="s">
        <v>43</v>
      </c>
      <c r="C11" s="223"/>
      <c r="D11" s="223"/>
      <c r="E11" s="223"/>
      <c r="F11" s="224">
        <f>Report!F11</f>
        <v>45900</v>
      </c>
      <c r="G11" s="224"/>
      <c r="J11" s="32"/>
    </row>
    <row r="12" spans="1:19" ht="20.399999999999999" customHeight="1">
      <c r="A12" s="28"/>
      <c r="B12" s="225" t="s">
        <v>44</v>
      </c>
      <c r="C12" s="225"/>
      <c r="D12" s="225"/>
      <c r="E12" s="226" t="str">
        <f>Report!F12</f>
        <v>Saleh Swiker Soil 70% + Swiker Sand 30%</v>
      </c>
      <c r="F12" s="226"/>
      <c r="G12" s="226"/>
      <c r="H12" s="125"/>
      <c r="J12" s="32"/>
    </row>
    <row r="13" spans="1:19" ht="20.399999999999999" customHeight="1">
      <c r="A13" s="28"/>
      <c r="B13" s="213" t="s">
        <v>48</v>
      </c>
      <c r="C13" s="213"/>
      <c r="D13" s="213"/>
      <c r="E13" s="213"/>
      <c r="F13" s="216" t="str">
        <f>Report!I13</f>
        <v>Fill / SM</v>
      </c>
      <c r="G13" s="216"/>
      <c r="H13" s="22"/>
      <c r="J13" s="32"/>
    </row>
    <row r="14" spans="1:19" ht="20.399999999999999" customHeight="1">
      <c r="A14" s="28"/>
      <c r="B14" s="213" t="s">
        <v>32</v>
      </c>
      <c r="C14" s="213"/>
      <c r="D14" s="213"/>
      <c r="E14" s="33">
        <f>Report!E14</f>
        <v>3</v>
      </c>
      <c r="F14" s="102"/>
      <c r="G14" s="102"/>
      <c r="H14" s="22"/>
      <c r="J14" s="32"/>
    </row>
    <row r="15" spans="1:19" ht="20.399999999999999" customHeight="1">
      <c r="A15" s="28"/>
      <c r="B15" s="213" t="s">
        <v>33</v>
      </c>
      <c r="C15" s="213"/>
      <c r="D15" s="213"/>
      <c r="E15" s="33">
        <f>Report!E15</f>
        <v>50</v>
      </c>
      <c r="F15" s="34"/>
      <c r="G15" s="34"/>
      <c r="H15" s="126"/>
      <c r="J15" s="32"/>
      <c r="S15" s="22"/>
    </row>
    <row r="16" spans="1:19" ht="8.1" customHeight="1" thickBot="1">
      <c r="A16" s="28"/>
      <c r="B16" s="34"/>
      <c r="C16" s="34"/>
      <c r="D16" s="34"/>
      <c r="E16" s="33"/>
      <c r="F16" s="34"/>
      <c r="G16" s="34"/>
      <c r="H16" s="35"/>
      <c r="J16" s="32"/>
    </row>
    <row r="17" spans="1:11" ht="46.5" customHeight="1" thickTop="1" thickBot="1">
      <c r="A17" s="28"/>
      <c r="B17" s="221" t="s">
        <v>53</v>
      </c>
      <c r="C17" s="222"/>
      <c r="D17" s="222"/>
      <c r="E17" s="110">
        <v>2.145</v>
      </c>
      <c r="F17" s="110">
        <v>2.202</v>
      </c>
      <c r="G17" s="110">
        <v>2.2599999999999998</v>
      </c>
      <c r="H17" s="111">
        <v>2.226</v>
      </c>
      <c r="I17" s="110"/>
      <c r="J17" s="32"/>
    </row>
    <row r="18" spans="1:11" ht="35.1" customHeight="1" thickTop="1">
      <c r="A18" s="28"/>
      <c r="B18" s="227" t="s">
        <v>54</v>
      </c>
      <c r="C18" s="228"/>
      <c r="D18" s="228"/>
      <c r="E18" s="112">
        <v>4.7</v>
      </c>
      <c r="F18" s="112">
        <v>5.4</v>
      </c>
      <c r="G18" s="112">
        <v>7.1</v>
      </c>
      <c r="H18" s="113">
        <v>8.1999999999999993</v>
      </c>
      <c r="I18" s="112"/>
      <c r="J18" s="32"/>
    </row>
    <row r="19" spans="1:11" ht="48" customHeight="1" thickBot="1">
      <c r="A19" s="28"/>
      <c r="B19" s="229" t="s">
        <v>55</v>
      </c>
      <c r="C19" s="230"/>
      <c r="D19" s="230"/>
      <c r="E19" s="114">
        <f>E17/(1+E18/100)</f>
        <v>2.0487106017191978</v>
      </c>
      <c r="F19" s="114">
        <f t="shared" ref="F19:H19" si="0">F17/(1+F18/100)</f>
        <v>2.0891840607210623</v>
      </c>
      <c r="G19" s="114">
        <f t="shared" si="0"/>
        <v>2.1101774042950514</v>
      </c>
      <c r="H19" s="115">
        <f t="shared" si="0"/>
        <v>2.0573012939001849</v>
      </c>
      <c r="I19" s="114"/>
      <c r="J19" s="32"/>
    </row>
    <row r="20" spans="1:11" ht="8.1" customHeight="1" thickTop="1">
      <c r="A20" s="28"/>
      <c r="J20" s="32"/>
    </row>
    <row r="21" spans="1:11" ht="20.100000000000001" customHeight="1">
      <c r="A21" s="28"/>
      <c r="J21" s="32"/>
    </row>
    <row r="22" spans="1:11" ht="20.100000000000001" customHeight="1">
      <c r="A22" s="28"/>
      <c r="J22" s="32"/>
    </row>
    <row r="23" spans="1:11" ht="20.100000000000001" customHeight="1">
      <c r="A23" s="28"/>
      <c r="J23" s="32"/>
    </row>
    <row r="24" spans="1:11" ht="20.100000000000001" customHeight="1">
      <c r="A24" s="28"/>
      <c r="J24" s="32"/>
    </row>
    <row r="25" spans="1:11" ht="20.100000000000001" customHeight="1">
      <c r="A25" s="28"/>
      <c r="J25" s="32"/>
    </row>
    <row r="26" spans="1:11" ht="20.100000000000001" customHeight="1">
      <c r="A26" s="28"/>
      <c r="J26" s="32"/>
    </row>
    <row r="27" spans="1:11" ht="20.100000000000001" customHeight="1">
      <c r="A27" s="28"/>
      <c r="J27" s="32"/>
      <c r="K27" s="46"/>
    </row>
    <row r="28" spans="1:11" ht="20.100000000000001" customHeight="1">
      <c r="A28" s="28"/>
      <c r="J28" s="32"/>
      <c r="K28" s="46"/>
    </row>
    <row r="29" spans="1:11" ht="20.100000000000001" customHeight="1">
      <c r="A29" s="28"/>
      <c r="J29" s="32"/>
      <c r="K29" s="46"/>
    </row>
    <row r="30" spans="1:11" ht="20.100000000000001" customHeight="1">
      <c r="A30" s="28"/>
      <c r="J30" s="32"/>
      <c r="K30" s="46"/>
    </row>
    <row r="31" spans="1:11" ht="20.100000000000001" customHeight="1">
      <c r="A31" s="28"/>
      <c r="J31" s="32"/>
    </row>
    <row r="32" spans="1:11" ht="20.100000000000001" customHeight="1">
      <c r="A32" s="28"/>
      <c r="J32" s="32"/>
    </row>
    <row r="33" spans="1:12" ht="20.100000000000001" customHeight="1">
      <c r="A33" s="28"/>
      <c r="J33" s="32"/>
    </row>
    <row r="34" spans="1:12" ht="3.9" customHeight="1">
      <c r="A34" s="28"/>
      <c r="J34" s="32"/>
    </row>
    <row r="35" spans="1:12" ht="15.9" customHeight="1">
      <c r="A35" s="116"/>
      <c r="B35" s="22"/>
      <c r="D35" s="127"/>
      <c r="E35" s="127"/>
      <c r="F35" s="127"/>
      <c r="G35" s="127"/>
      <c r="H35" s="127"/>
      <c r="I35" s="127"/>
      <c r="J35" s="117"/>
    </row>
    <row r="36" spans="1:12" ht="22.2" customHeight="1">
      <c r="A36" s="116"/>
      <c r="B36" s="22"/>
      <c r="C36" s="128"/>
      <c r="D36" s="44" t="s">
        <v>56</v>
      </c>
      <c r="E36" s="44"/>
      <c r="F36" s="129">
        <v>2.1179999999999999</v>
      </c>
      <c r="G36" s="21" t="s">
        <v>57</v>
      </c>
      <c r="I36" s="127"/>
      <c r="J36" s="117"/>
    </row>
    <row r="37" spans="1:12" ht="22.2" customHeight="1">
      <c r="A37" s="116"/>
      <c r="B37" s="22"/>
      <c r="C37" s="128"/>
      <c r="D37" s="231" t="s">
        <v>58</v>
      </c>
      <c r="E37" s="231"/>
      <c r="F37" s="130">
        <v>6.6</v>
      </c>
      <c r="G37" s="131" t="s">
        <v>59</v>
      </c>
      <c r="H37" s="132"/>
      <c r="I37" s="127"/>
      <c r="J37" s="117"/>
    </row>
    <row r="38" spans="1:12" ht="15.9" customHeight="1">
      <c r="A38" s="116"/>
      <c r="B38" s="22"/>
      <c r="D38" s="133"/>
      <c r="E38" s="127"/>
      <c r="F38" s="130"/>
      <c r="G38" s="127"/>
      <c r="H38" s="127"/>
      <c r="I38" s="127"/>
      <c r="J38" s="117"/>
    </row>
    <row r="39" spans="1:12" ht="8.1" customHeight="1">
      <c r="A39" s="28"/>
      <c r="J39" s="32"/>
    </row>
    <row r="40" spans="1:12" ht="28.2" customHeight="1">
      <c r="A40" s="29"/>
      <c r="B40" s="164" t="str">
        <f>Report!B40</f>
        <v>Prepared by : Eng. Alaa Hassan</v>
      </c>
      <c r="C40" s="164"/>
      <c r="D40" s="164"/>
      <c r="E40" s="164"/>
      <c r="F40" s="118"/>
      <c r="G40" s="217" t="str">
        <f>Report!K40</f>
        <v>Dept. Manager : Eng. Reda El Raheb</v>
      </c>
      <c r="H40" s="217"/>
      <c r="I40" s="217"/>
      <c r="J40" s="218"/>
    </row>
    <row r="41" spans="1:12" ht="28.2" customHeight="1" thickBot="1">
      <c r="A41" s="119"/>
      <c r="B41" s="219"/>
      <c r="C41" s="219"/>
      <c r="D41" s="219"/>
      <c r="E41" s="219"/>
      <c r="F41" s="219"/>
      <c r="G41" s="120"/>
      <c r="H41" s="120"/>
      <c r="I41" s="120"/>
      <c r="J41" s="121"/>
    </row>
    <row r="42" spans="1:12" ht="15.75" customHeight="1">
      <c r="L42" s="122"/>
    </row>
    <row r="43" spans="1:12" ht="15.75" customHeight="1">
      <c r="L43" s="122"/>
    </row>
    <row r="44" spans="1:12" ht="15.75" customHeight="1">
      <c r="F44" s="135">
        <f>F37</f>
        <v>6.6</v>
      </c>
      <c r="G44" s="135">
        <f>F37</f>
        <v>6.6</v>
      </c>
      <c r="H44" s="135">
        <v>0</v>
      </c>
      <c r="L44" s="122"/>
    </row>
    <row r="45" spans="1:12" ht="15.75" customHeight="1">
      <c r="F45" s="136">
        <f>F36</f>
        <v>2.1179999999999999</v>
      </c>
      <c r="G45" s="136">
        <f>F36-(F36-E19)</f>
        <v>2.0487106017191978</v>
      </c>
      <c r="H45" s="136">
        <f>F36</f>
        <v>2.1179999999999999</v>
      </c>
      <c r="L45" s="122"/>
    </row>
    <row r="46" spans="1:12" ht="15.75" customHeight="1">
      <c r="F46" s="135"/>
      <c r="G46" s="135"/>
      <c r="H46" s="135"/>
      <c r="L46" s="122"/>
    </row>
    <row r="47" spans="1:12" ht="15.75" customHeight="1">
      <c r="F47" s="135"/>
      <c r="G47" s="135"/>
      <c r="H47" s="136"/>
      <c r="L47" s="122"/>
    </row>
    <row r="48" spans="1:12" ht="15.75" customHeight="1">
      <c r="L48" s="122"/>
    </row>
    <row r="49" spans="12:16" ht="15.75" customHeight="1">
      <c r="L49" s="122"/>
    </row>
    <row r="50" spans="12:16" ht="15.75" customHeight="1">
      <c r="L50" s="122"/>
    </row>
    <row r="51" spans="12:16" ht="15.75" customHeight="1">
      <c r="L51" s="122"/>
    </row>
    <row r="52" spans="12:16" ht="15.75" customHeight="1">
      <c r="L52" s="122"/>
      <c r="M52" s="123"/>
      <c r="N52" s="123"/>
      <c r="O52" s="123"/>
      <c r="P52" s="123"/>
    </row>
    <row r="53" spans="12:16" ht="15.75" customHeight="1">
      <c r="L53" s="122"/>
      <c r="M53" s="123"/>
      <c r="N53" s="123"/>
      <c r="O53" s="123"/>
      <c r="P53" s="123"/>
    </row>
  </sheetData>
  <sheetProtection selectLockedCells="1"/>
  <mergeCells count="24">
    <mergeCell ref="B9:I9"/>
    <mergeCell ref="B7:F7"/>
    <mergeCell ref="B8:G8"/>
    <mergeCell ref="B1:J1"/>
    <mergeCell ref="B3:J3"/>
    <mergeCell ref="B4:J4"/>
    <mergeCell ref="B5:J5"/>
    <mergeCell ref="B6:J6"/>
    <mergeCell ref="B40:E40"/>
    <mergeCell ref="G40:J40"/>
    <mergeCell ref="B41:F41"/>
    <mergeCell ref="B10:I10"/>
    <mergeCell ref="B14:D14"/>
    <mergeCell ref="B15:D15"/>
    <mergeCell ref="B17:D17"/>
    <mergeCell ref="B11:E11"/>
    <mergeCell ref="F11:G11"/>
    <mergeCell ref="B12:D12"/>
    <mergeCell ref="E12:G12"/>
    <mergeCell ref="B13:E13"/>
    <mergeCell ref="F13:G13"/>
    <mergeCell ref="B18:D18"/>
    <mergeCell ref="B19:D19"/>
    <mergeCell ref="D37:E37"/>
  </mergeCells>
  <printOptions horizontalCentered="1" verticalCentered="1"/>
  <pageMargins left="0.196850393700787" right="0.196850393700787" top="0.196850393700787" bottom="0.196850393700787" header="0" footer="0"/>
  <pageSetup paperSize="9" scale="94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868AA-AE76-4015-8BA3-FFB6E8945CDF}">
  <dimension ref="A1:R41"/>
  <sheetViews>
    <sheetView showGridLines="0" view="pageBreakPreview" topLeftCell="A15" zoomScale="115" zoomScaleNormal="100" zoomScaleSheetLayoutView="115" workbookViewId="0">
      <selection activeCell="M28" sqref="M28"/>
    </sheetView>
  </sheetViews>
  <sheetFormatPr defaultRowHeight="13.2"/>
  <cols>
    <col min="1" max="1" width="3.6640625" style="243" customWidth="1"/>
    <col min="2" max="2" width="12.44140625" style="243" customWidth="1"/>
    <col min="3" max="3" width="11.109375" style="243" customWidth="1"/>
    <col min="4" max="4" width="13.44140625" style="243" customWidth="1"/>
    <col min="5" max="9" width="11.109375" style="243" customWidth="1"/>
    <col min="10" max="10" width="3.6640625" style="243" customWidth="1"/>
    <col min="11" max="11" width="10.6640625" style="244" customWidth="1"/>
    <col min="12" max="12" width="10.6640625" style="243" customWidth="1"/>
    <col min="13" max="13" width="8.88671875" style="243"/>
    <col min="14" max="14" width="15.109375" style="243" bestFit="1" customWidth="1"/>
    <col min="15" max="255" width="8.88671875" style="243"/>
    <col min="256" max="256" width="3.6640625" style="243" customWidth="1"/>
    <col min="257" max="258" width="11.109375" style="243" customWidth="1"/>
    <col min="259" max="259" width="13.44140625" style="243" customWidth="1"/>
    <col min="260" max="264" width="11.109375" style="243" customWidth="1"/>
    <col min="265" max="265" width="3.6640625" style="243" customWidth="1"/>
    <col min="266" max="268" width="10.6640625" style="243" customWidth="1"/>
    <col min="269" max="511" width="8.88671875" style="243"/>
    <col min="512" max="512" width="3.6640625" style="243" customWidth="1"/>
    <col min="513" max="514" width="11.109375" style="243" customWidth="1"/>
    <col min="515" max="515" width="13.44140625" style="243" customWidth="1"/>
    <col min="516" max="520" width="11.109375" style="243" customWidth="1"/>
    <col min="521" max="521" width="3.6640625" style="243" customWidth="1"/>
    <col min="522" max="524" width="10.6640625" style="243" customWidth="1"/>
    <col min="525" max="767" width="8.88671875" style="243"/>
    <col min="768" max="768" width="3.6640625" style="243" customWidth="1"/>
    <col min="769" max="770" width="11.109375" style="243" customWidth="1"/>
    <col min="771" max="771" width="13.44140625" style="243" customWidth="1"/>
    <col min="772" max="776" width="11.109375" style="243" customWidth="1"/>
    <col min="777" max="777" width="3.6640625" style="243" customWidth="1"/>
    <col min="778" max="780" width="10.6640625" style="243" customWidth="1"/>
    <col min="781" max="1023" width="8.88671875" style="243"/>
    <col min="1024" max="1024" width="3.6640625" style="243" customWidth="1"/>
    <col min="1025" max="1026" width="11.109375" style="243" customWidth="1"/>
    <col min="1027" max="1027" width="13.44140625" style="243" customWidth="1"/>
    <col min="1028" max="1032" width="11.109375" style="243" customWidth="1"/>
    <col min="1033" max="1033" width="3.6640625" style="243" customWidth="1"/>
    <col min="1034" max="1036" width="10.6640625" style="243" customWidth="1"/>
    <col min="1037" max="1279" width="8.88671875" style="243"/>
    <col min="1280" max="1280" width="3.6640625" style="243" customWidth="1"/>
    <col min="1281" max="1282" width="11.109375" style="243" customWidth="1"/>
    <col min="1283" max="1283" width="13.44140625" style="243" customWidth="1"/>
    <col min="1284" max="1288" width="11.109375" style="243" customWidth="1"/>
    <col min="1289" max="1289" width="3.6640625" style="243" customWidth="1"/>
    <col min="1290" max="1292" width="10.6640625" style="243" customWidth="1"/>
    <col min="1293" max="1535" width="8.88671875" style="243"/>
    <col min="1536" max="1536" width="3.6640625" style="243" customWidth="1"/>
    <col min="1537" max="1538" width="11.109375" style="243" customWidth="1"/>
    <col min="1539" max="1539" width="13.44140625" style="243" customWidth="1"/>
    <col min="1540" max="1544" width="11.109375" style="243" customWidth="1"/>
    <col min="1545" max="1545" width="3.6640625" style="243" customWidth="1"/>
    <col min="1546" max="1548" width="10.6640625" style="243" customWidth="1"/>
    <col min="1549" max="1791" width="8.88671875" style="243"/>
    <col min="1792" max="1792" width="3.6640625" style="243" customWidth="1"/>
    <col min="1793" max="1794" width="11.109375" style="243" customWidth="1"/>
    <col min="1795" max="1795" width="13.44140625" style="243" customWidth="1"/>
    <col min="1796" max="1800" width="11.109375" style="243" customWidth="1"/>
    <col min="1801" max="1801" width="3.6640625" style="243" customWidth="1"/>
    <col min="1802" max="1804" width="10.6640625" style="243" customWidth="1"/>
    <col min="1805" max="2047" width="8.88671875" style="243"/>
    <col min="2048" max="2048" width="3.6640625" style="243" customWidth="1"/>
    <col min="2049" max="2050" width="11.109375" style="243" customWidth="1"/>
    <col min="2051" max="2051" width="13.44140625" style="243" customWidth="1"/>
    <col min="2052" max="2056" width="11.109375" style="243" customWidth="1"/>
    <col min="2057" max="2057" width="3.6640625" style="243" customWidth="1"/>
    <col min="2058" max="2060" width="10.6640625" style="243" customWidth="1"/>
    <col min="2061" max="2303" width="8.88671875" style="243"/>
    <col min="2304" max="2304" width="3.6640625" style="243" customWidth="1"/>
    <col min="2305" max="2306" width="11.109375" style="243" customWidth="1"/>
    <col min="2307" max="2307" width="13.44140625" style="243" customWidth="1"/>
    <col min="2308" max="2312" width="11.109375" style="243" customWidth="1"/>
    <col min="2313" max="2313" width="3.6640625" style="243" customWidth="1"/>
    <col min="2314" max="2316" width="10.6640625" style="243" customWidth="1"/>
    <col min="2317" max="2559" width="8.88671875" style="243"/>
    <col min="2560" max="2560" width="3.6640625" style="243" customWidth="1"/>
    <col min="2561" max="2562" width="11.109375" style="243" customWidth="1"/>
    <col min="2563" max="2563" width="13.44140625" style="243" customWidth="1"/>
    <col min="2564" max="2568" width="11.109375" style="243" customWidth="1"/>
    <col min="2569" max="2569" width="3.6640625" style="243" customWidth="1"/>
    <col min="2570" max="2572" width="10.6640625" style="243" customWidth="1"/>
    <col min="2573" max="2815" width="8.88671875" style="243"/>
    <col min="2816" max="2816" width="3.6640625" style="243" customWidth="1"/>
    <col min="2817" max="2818" width="11.109375" style="243" customWidth="1"/>
    <col min="2819" max="2819" width="13.44140625" style="243" customWidth="1"/>
    <col min="2820" max="2824" width="11.109375" style="243" customWidth="1"/>
    <col min="2825" max="2825" width="3.6640625" style="243" customWidth="1"/>
    <col min="2826" max="2828" width="10.6640625" style="243" customWidth="1"/>
    <col min="2829" max="3071" width="8.88671875" style="243"/>
    <col min="3072" max="3072" width="3.6640625" style="243" customWidth="1"/>
    <col min="3073" max="3074" width="11.109375" style="243" customWidth="1"/>
    <col min="3075" max="3075" width="13.44140625" style="243" customWidth="1"/>
    <col min="3076" max="3080" width="11.109375" style="243" customWidth="1"/>
    <col min="3081" max="3081" width="3.6640625" style="243" customWidth="1"/>
    <col min="3082" max="3084" width="10.6640625" style="243" customWidth="1"/>
    <col min="3085" max="3327" width="8.88671875" style="243"/>
    <col min="3328" max="3328" width="3.6640625" style="243" customWidth="1"/>
    <col min="3329" max="3330" width="11.109375" style="243" customWidth="1"/>
    <col min="3331" max="3331" width="13.44140625" style="243" customWidth="1"/>
    <col min="3332" max="3336" width="11.109375" style="243" customWidth="1"/>
    <col min="3337" max="3337" width="3.6640625" style="243" customWidth="1"/>
    <col min="3338" max="3340" width="10.6640625" style="243" customWidth="1"/>
    <col min="3341" max="3583" width="8.88671875" style="243"/>
    <col min="3584" max="3584" width="3.6640625" style="243" customWidth="1"/>
    <col min="3585" max="3586" width="11.109375" style="243" customWidth="1"/>
    <col min="3587" max="3587" width="13.44140625" style="243" customWidth="1"/>
    <col min="3588" max="3592" width="11.109375" style="243" customWidth="1"/>
    <col min="3593" max="3593" width="3.6640625" style="243" customWidth="1"/>
    <col min="3594" max="3596" width="10.6640625" style="243" customWidth="1"/>
    <col min="3597" max="3839" width="8.88671875" style="243"/>
    <col min="3840" max="3840" width="3.6640625" style="243" customWidth="1"/>
    <col min="3841" max="3842" width="11.109375" style="243" customWidth="1"/>
    <col min="3843" max="3843" width="13.44140625" style="243" customWidth="1"/>
    <col min="3844" max="3848" width="11.109375" style="243" customWidth="1"/>
    <col min="3849" max="3849" width="3.6640625" style="243" customWidth="1"/>
    <col min="3850" max="3852" width="10.6640625" style="243" customWidth="1"/>
    <col min="3853" max="4095" width="8.88671875" style="243"/>
    <col min="4096" max="4096" width="3.6640625" style="243" customWidth="1"/>
    <col min="4097" max="4098" width="11.109375" style="243" customWidth="1"/>
    <col min="4099" max="4099" width="13.44140625" style="243" customWidth="1"/>
    <col min="4100" max="4104" width="11.109375" style="243" customWidth="1"/>
    <col min="4105" max="4105" width="3.6640625" style="243" customWidth="1"/>
    <col min="4106" max="4108" width="10.6640625" style="243" customWidth="1"/>
    <col min="4109" max="4351" width="8.88671875" style="243"/>
    <col min="4352" max="4352" width="3.6640625" style="243" customWidth="1"/>
    <col min="4353" max="4354" width="11.109375" style="243" customWidth="1"/>
    <col min="4355" max="4355" width="13.44140625" style="243" customWidth="1"/>
    <col min="4356" max="4360" width="11.109375" style="243" customWidth="1"/>
    <col min="4361" max="4361" width="3.6640625" style="243" customWidth="1"/>
    <col min="4362" max="4364" width="10.6640625" style="243" customWidth="1"/>
    <col min="4365" max="4607" width="8.88671875" style="243"/>
    <col min="4608" max="4608" width="3.6640625" style="243" customWidth="1"/>
    <col min="4609" max="4610" width="11.109375" style="243" customWidth="1"/>
    <col min="4611" max="4611" width="13.44140625" style="243" customWidth="1"/>
    <col min="4612" max="4616" width="11.109375" style="243" customWidth="1"/>
    <col min="4617" max="4617" width="3.6640625" style="243" customWidth="1"/>
    <col min="4618" max="4620" width="10.6640625" style="243" customWidth="1"/>
    <col min="4621" max="4863" width="8.88671875" style="243"/>
    <col min="4864" max="4864" width="3.6640625" style="243" customWidth="1"/>
    <col min="4865" max="4866" width="11.109375" style="243" customWidth="1"/>
    <col min="4867" max="4867" width="13.44140625" style="243" customWidth="1"/>
    <col min="4868" max="4872" width="11.109375" style="243" customWidth="1"/>
    <col min="4873" max="4873" width="3.6640625" style="243" customWidth="1"/>
    <col min="4874" max="4876" width="10.6640625" style="243" customWidth="1"/>
    <col min="4877" max="5119" width="8.88671875" style="243"/>
    <col min="5120" max="5120" width="3.6640625" style="243" customWidth="1"/>
    <col min="5121" max="5122" width="11.109375" style="243" customWidth="1"/>
    <col min="5123" max="5123" width="13.44140625" style="243" customWidth="1"/>
    <col min="5124" max="5128" width="11.109375" style="243" customWidth="1"/>
    <col min="5129" max="5129" width="3.6640625" style="243" customWidth="1"/>
    <col min="5130" max="5132" width="10.6640625" style="243" customWidth="1"/>
    <col min="5133" max="5375" width="8.88671875" style="243"/>
    <col min="5376" max="5376" width="3.6640625" style="243" customWidth="1"/>
    <col min="5377" max="5378" width="11.109375" style="243" customWidth="1"/>
    <col min="5379" max="5379" width="13.44140625" style="243" customWidth="1"/>
    <col min="5380" max="5384" width="11.109375" style="243" customWidth="1"/>
    <col min="5385" max="5385" width="3.6640625" style="243" customWidth="1"/>
    <col min="5386" max="5388" width="10.6640625" style="243" customWidth="1"/>
    <col min="5389" max="5631" width="8.88671875" style="243"/>
    <col min="5632" max="5632" width="3.6640625" style="243" customWidth="1"/>
    <col min="5633" max="5634" width="11.109375" style="243" customWidth="1"/>
    <col min="5635" max="5635" width="13.44140625" style="243" customWidth="1"/>
    <col min="5636" max="5640" width="11.109375" style="243" customWidth="1"/>
    <col min="5641" max="5641" width="3.6640625" style="243" customWidth="1"/>
    <col min="5642" max="5644" width="10.6640625" style="243" customWidth="1"/>
    <col min="5645" max="5887" width="8.88671875" style="243"/>
    <col min="5888" max="5888" width="3.6640625" style="243" customWidth="1"/>
    <col min="5889" max="5890" width="11.109375" style="243" customWidth="1"/>
    <col min="5891" max="5891" width="13.44140625" style="243" customWidth="1"/>
    <col min="5892" max="5896" width="11.109375" style="243" customWidth="1"/>
    <col min="5897" max="5897" width="3.6640625" style="243" customWidth="1"/>
    <col min="5898" max="5900" width="10.6640625" style="243" customWidth="1"/>
    <col min="5901" max="6143" width="8.88671875" style="243"/>
    <col min="6144" max="6144" width="3.6640625" style="243" customWidth="1"/>
    <col min="6145" max="6146" width="11.109375" style="243" customWidth="1"/>
    <col min="6147" max="6147" width="13.44140625" style="243" customWidth="1"/>
    <col min="6148" max="6152" width="11.109375" style="243" customWidth="1"/>
    <col min="6153" max="6153" width="3.6640625" style="243" customWidth="1"/>
    <col min="6154" max="6156" width="10.6640625" style="243" customWidth="1"/>
    <col min="6157" max="6399" width="8.88671875" style="243"/>
    <col min="6400" max="6400" width="3.6640625" style="243" customWidth="1"/>
    <col min="6401" max="6402" width="11.109375" style="243" customWidth="1"/>
    <col min="6403" max="6403" width="13.44140625" style="243" customWidth="1"/>
    <col min="6404" max="6408" width="11.109375" style="243" customWidth="1"/>
    <col min="6409" max="6409" width="3.6640625" style="243" customWidth="1"/>
    <col min="6410" max="6412" width="10.6640625" style="243" customWidth="1"/>
    <col min="6413" max="6655" width="8.88671875" style="243"/>
    <col min="6656" max="6656" width="3.6640625" style="243" customWidth="1"/>
    <col min="6657" max="6658" width="11.109375" style="243" customWidth="1"/>
    <col min="6659" max="6659" width="13.44140625" style="243" customWidth="1"/>
    <col min="6660" max="6664" width="11.109375" style="243" customWidth="1"/>
    <col min="6665" max="6665" width="3.6640625" style="243" customWidth="1"/>
    <col min="6666" max="6668" width="10.6640625" style="243" customWidth="1"/>
    <col min="6669" max="6911" width="8.88671875" style="243"/>
    <col min="6912" max="6912" width="3.6640625" style="243" customWidth="1"/>
    <col min="6913" max="6914" width="11.109375" style="243" customWidth="1"/>
    <col min="6915" max="6915" width="13.44140625" style="243" customWidth="1"/>
    <col min="6916" max="6920" width="11.109375" style="243" customWidth="1"/>
    <col min="6921" max="6921" width="3.6640625" style="243" customWidth="1"/>
    <col min="6922" max="6924" width="10.6640625" style="243" customWidth="1"/>
    <col min="6925" max="7167" width="8.88671875" style="243"/>
    <col min="7168" max="7168" width="3.6640625" style="243" customWidth="1"/>
    <col min="7169" max="7170" width="11.109375" style="243" customWidth="1"/>
    <col min="7171" max="7171" width="13.44140625" style="243" customWidth="1"/>
    <col min="7172" max="7176" width="11.109375" style="243" customWidth="1"/>
    <col min="7177" max="7177" width="3.6640625" style="243" customWidth="1"/>
    <col min="7178" max="7180" width="10.6640625" style="243" customWidth="1"/>
    <col min="7181" max="7423" width="8.88671875" style="243"/>
    <col min="7424" max="7424" width="3.6640625" style="243" customWidth="1"/>
    <col min="7425" max="7426" width="11.109375" style="243" customWidth="1"/>
    <col min="7427" max="7427" width="13.44140625" style="243" customWidth="1"/>
    <col min="7428" max="7432" width="11.109375" style="243" customWidth="1"/>
    <col min="7433" max="7433" width="3.6640625" style="243" customWidth="1"/>
    <col min="7434" max="7436" width="10.6640625" style="243" customWidth="1"/>
    <col min="7437" max="7679" width="8.88671875" style="243"/>
    <col min="7680" max="7680" width="3.6640625" style="243" customWidth="1"/>
    <col min="7681" max="7682" width="11.109375" style="243" customWidth="1"/>
    <col min="7683" max="7683" width="13.44140625" style="243" customWidth="1"/>
    <col min="7684" max="7688" width="11.109375" style="243" customWidth="1"/>
    <col min="7689" max="7689" width="3.6640625" style="243" customWidth="1"/>
    <col min="7690" max="7692" width="10.6640625" style="243" customWidth="1"/>
    <col min="7693" max="7935" width="8.88671875" style="243"/>
    <col min="7936" max="7936" width="3.6640625" style="243" customWidth="1"/>
    <col min="7937" max="7938" width="11.109375" style="243" customWidth="1"/>
    <col min="7939" max="7939" width="13.44140625" style="243" customWidth="1"/>
    <col min="7940" max="7944" width="11.109375" style="243" customWidth="1"/>
    <col min="7945" max="7945" width="3.6640625" style="243" customWidth="1"/>
    <col min="7946" max="7948" width="10.6640625" style="243" customWidth="1"/>
    <col min="7949" max="8191" width="8.88671875" style="243"/>
    <col min="8192" max="8192" width="3.6640625" style="243" customWidth="1"/>
    <col min="8193" max="8194" width="11.109375" style="243" customWidth="1"/>
    <col min="8195" max="8195" width="13.44140625" style="243" customWidth="1"/>
    <col min="8196" max="8200" width="11.109375" style="243" customWidth="1"/>
    <col min="8201" max="8201" width="3.6640625" style="243" customWidth="1"/>
    <col min="8202" max="8204" width="10.6640625" style="243" customWidth="1"/>
    <col min="8205" max="8447" width="8.88671875" style="243"/>
    <col min="8448" max="8448" width="3.6640625" style="243" customWidth="1"/>
    <col min="8449" max="8450" width="11.109375" style="243" customWidth="1"/>
    <col min="8451" max="8451" width="13.44140625" style="243" customWidth="1"/>
    <col min="8452" max="8456" width="11.109375" style="243" customWidth="1"/>
    <col min="8457" max="8457" width="3.6640625" style="243" customWidth="1"/>
    <col min="8458" max="8460" width="10.6640625" style="243" customWidth="1"/>
    <col min="8461" max="8703" width="8.88671875" style="243"/>
    <col min="8704" max="8704" width="3.6640625" style="243" customWidth="1"/>
    <col min="8705" max="8706" width="11.109375" style="243" customWidth="1"/>
    <col min="8707" max="8707" width="13.44140625" style="243" customWidth="1"/>
    <col min="8708" max="8712" width="11.109375" style="243" customWidth="1"/>
    <col min="8713" max="8713" width="3.6640625" style="243" customWidth="1"/>
    <col min="8714" max="8716" width="10.6640625" style="243" customWidth="1"/>
    <col min="8717" max="8959" width="8.88671875" style="243"/>
    <col min="8960" max="8960" width="3.6640625" style="243" customWidth="1"/>
    <col min="8961" max="8962" width="11.109375" style="243" customWidth="1"/>
    <col min="8963" max="8963" width="13.44140625" style="243" customWidth="1"/>
    <col min="8964" max="8968" width="11.109375" style="243" customWidth="1"/>
    <col min="8969" max="8969" width="3.6640625" style="243" customWidth="1"/>
    <col min="8970" max="8972" width="10.6640625" style="243" customWidth="1"/>
    <col min="8973" max="9215" width="8.88671875" style="243"/>
    <col min="9216" max="9216" width="3.6640625" style="243" customWidth="1"/>
    <col min="9217" max="9218" width="11.109375" style="243" customWidth="1"/>
    <col min="9219" max="9219" width="13.44140625" style="243" customWidth="1"/>
    <col min="9220" max="9224" width="11.109375" style="243" customWidth="1"/>
    <col min="9225" max="9225" width="3.6640625" style="243" customWidth="1"/>
    <col min="9226" max="9228" width="10.6640625" style="243" customWidth="1"/>
    <col min="9229" max="9471" width="8.88671875" style="243"/>
    <col min="9472" max="9472" width="3.6640625" style="243" customWidth="1"/>
    <col min="9473" max="9474" width="11.109375" style="243" customWidth="1"/>
    <col min="9475" max="9475" width="13.44140625" style="243" customWidth="1"/>
    <col min="9476" max="9480" width="11.109375" style="243" customWidth="1"/>
    <col min="9481" max="9481" width="3.6640625" style="243" customWidth="1"/>
    <col min="9482" max="9484" width="10.6640625" style="243" customWidth="1"/>
    <col min="9485" max="9727" width="8.88671875" style="243"/>
    <col min="9728" max="9728" width="3.6640625" style="243" customWidth="1"/>
    <col min="9729" max="9730" width="11.109375" style="243" customWidth="1"/>
    <col min="9731" max="9731" width="13.44140625" style="243" customWidth="1"/>
    <col min="9732" max="9736" width="11.109375" style="243" customWidth="1"/>
    <col min="9737" max="9737" width="3.6640625" style="243" customWidth="1"/>
    <col min="9738" max="9740" width="10.6640625" style="243" customWidth="1"/>
    <col min="9741" max="9983" width="8.88671875" style="243"/>
    <col min="9984" max="9984" width="3.6640625" style="243" customWidth="1"/>
    <col min="9985" max="9986" width="11.109375" style="243" customWidth="1"/>
    <col min="9987" max="9987" width="13.44140625" style="243" customWidth="1"/>
    <col min="9988" max="9992" width="11.109375" style="243" customWidth="1"/>
    <col min="9993" max="9993" width="3.6640625" style="243" customWidth="1"/>
    <col min="9994" max="9996" width="10.6640625" style="243" customWidth="1"/>
    <col min="9997" max="10239" width="8.88671875" style="243"/>
    <col min="10240" max="10240" width="3.6640625" style="243" customWidth="1"/>
    <col min="10241" max="10242" width="11.109375" style="243" customWidth="1"/>
    <col min="10243" max="10243" width="13.44140625" style="243" customWidth="1"/>
    <col min="10244" max="10248" width="11.109375" style="243" customWidth="1"/>
    <col min="10249" max="10249" width="3.6640625" style="243" customWidth="1"/>
    <col min="10250" max="10252" width="10.6640625" style="243" customWidth="1"/>
    <col min="10253" max="10495" width="8.88671875" style="243"/>
    <col min="10496" max="10496" width="3.6640625" style="243" customWidth="1"/>
    <col min="10497" max="10498" width="11.109375" style="243" customWidth="1"/>
    <col min="10499" max="10499" width="13.44140625" style="243" customWidth="1"/>
    <col min="10500" max="10504" width="11.109375" style="243" customWidth="1"/>
    <col min="10505" max="10505" width="3.6640625" style="243" customWidth="1"/>
    <col min="10506" max="10508" width="10.6640625" style="243" customWidth="1"/>
    <col min="10509" max="10751" width="8.88671875" style="243"/>
    <col min="10752" max="10752" width="3.6640625" style="243" customWidth="1"/>
    <col min="10753" max="10754" width="11.109375" style="243" customWidth="1"/>
    <col min="10755" max="10755" width="13.44140625" style="243" customWidth="1"/>
    <col min="10756" max="10760" width="11.109375" style="243" customWidth="1"/>
    <col min="10761" max="10761" width="3.6640625" style="243" customWidth="1"/>
    <col min="10762" max="10764" width="10.6640625" style="243" customWidth="1"/>
    <col min="10765" max="11007" width="8.88671875" style="243"/>
    <col min="11008" max="11008" width="3.6640625" style="243" customWidth="1"/>
    <col min="11009" max="11010" width="11.109375" style="243" customWidth="1"/>
    <col min="11011" max="11011" width="13.44140625" style="243" customWidth="1"/>
    <col min="11012" max="11016" width="11.109375" style="243" customWidth="1"/>
    <col min="11017" max="11017" width="3.6640625" style="243" customWidth="1"/>
    <col min="11018" max="11020" width="10.6640625" style="243" customWidth="1"/>
    <col min="11021" max="11263" width="8.88671875" style="243"/>
    <col min="11264" max="11264" width="3.6640625" style="243" customWidth="1"/>
    <col min="11265" max="11266" width="11.109375" style="243" customWidth="1"/>
    <col min="11267" max="11267" width="13.44140625" style="243" customWidth="1"/>
    <col min="11268" max="11272" width="11.109375" style="243" customWidth="1"/>
    <col min="11273" max="11273" width="3.6640625" style="243" customWidth="1"/>
    <col min="11274" max="11276" width="10.6640625" style="243" customWidth="1"/>
    <col min="11277" max="11519" width="8.88671875" style="243"/>
    <col min="11520" max="11520" width="3.6640625" style="243" customWidth="1"/>
    <col min="11521" max="11522" width="11.109375" style="243" customWidth="1"/>
    <col min="11523" max="11523" width="13.44140625" style="243" customWidth="1"/>
    <col min="11524" max="11528" width="11.109375" style="243" customWidth="1"/>
    <col min="11529" max="11529" width="3.6640625" style="243" customWidth="1"/>
    <col min="11530" max="11532" width="10.6640625" style="243" customWidth="1"/>
    <col min="11533" max="11775" width="8.88671875" style="243"/>
    <col min="11776" max="11776" width="3.6640625" style="243" customWidth="1"/>
    <col min="11777" max="11778" width="11.109375" style="243" customWidth="1"/>
    <col min="11779" max="11779" width="13.44140625" style="243" customWidth="1"/>
    <col min="11780" max="11784" width="11.109375" style="243" customWidth="1"/>
    <col min="11785" max="11785" width="3.6640625" style="243" customWidth="1"/>
    <col min="11786" max="11788" width="10.6640625" style="243" customWidth="1"/>
    <col min="11789" max="12031" width="8.88671875" style="243"/>
    <col min="12032" max="12032" width="3.6640625" style="243" customWidth="1"/>
    <col min="12033" max="12034" width="11.109375" style="243" customWidth="1"/>
    <col min="12035" max="12035" width="13.44140625" style="243" customWidth="1"/>
    <col min="12036" max="12040" width="11.109375" style="243" customWidth="1"/>
    <col min="12041" max="12041" width="3.6640625" style="243" customWidth="1"/>
    <col min="12042" max="12044" width="10.6640625" style="243" customWidth="1"/>
    <col min="12045" max="12287" width="8.88671875" style="243"/>
    <col min="12288" max="12288" width="3.6640625" style="243" customWidth="1"/>
    <col min="12289" max="12290" width="11.109375" style="243" customWidth="1"/>
    <col min="12291" max="12291" width="13.44140625" style="243" customWidth="1"/>
    <col min="12292" max="12296" width="11.109375" style="243" customWidth="1"/>
    <col min="12297" max="12297" width="3.6640625" style="243" customWidth="1"/>
    <col min="12298" max="12300" width="10.6640625" style="243" customWidth="1"/>
    <col min="12301" max="12543" width="8.88671875" style="243"/>
    <col min="12544" max="12544" width="3.6640625" style="243" customWidth="1"/>
    <col min="12545" max="12546" width="11.109375" style="243" customWidth="1"/>
    <col min="12547" max="12547" width="13.44140625" style="243" customWidth="1"/>
    <col min="12548" max="12552" width="11.109375" style="243" customWidth="1"/>
    <col min="12553" max="12553" width="3.6640625" style="243" customWidth="1"/>
    <col min="12554" max="12556" width="10.6640625" style="243" customWidth="1"/>
    <col min="12557" max="12799" width="8.88671875" style="243"/>
    <col min="12800" max="12800" width="3.6640625" style="243" customWidth="1"/>
    <col min="12801" max="12802" width="11.109375" style="243" customWidth="1"/>
    <col min="12803" max="12803" width="13.44140625" style="243" customWidth="1"/>
    <col min="12804" max="12808" width="11.109375" style="243" customWidth="1"/>
    <col min="12809" max="12809" width="3.6640625" style="243" customWidth="1"/>
    <col min="12810" max="12812" width="10.6640625" style="243" customWidth="1"/>
    <col min="12813" max="13055" width="8.88671875" style="243"/>
    <col min="13056" max="13056" width="3.6640625" style="243" customWidth="1"/>
    <col min="13057" max="13058" width="11.109375" style="243" customWidth="1"/>
    <col min="13059" max="13059" width="13.44140625" style="243" customWidth="1"/>
    <col min="13060" max="13064" width="11.109375" style="243" customWidth="1"/>
    <col min="13065" max="13065" width="3.6640625" style="243" customWidth="1"/>
    <col min="13066" max="13068" width="10.6640625" style="243" customWidth="1"/>
    <col min="13069" max="13311" width="8.88671875" style="243"/>
    <col min="13312" max="13312" width="3.6640625" style="243" customWidth="1"/>
    <col min="13313" max="13314" width="11.109375" style="243" customWidth="1"/>
    <col min="13315" max="13315" width="13.44140625" style="243" customWidth="1"/>
    <col min="13316" max="13320" width="11.109375" style="243" customWidth="1"/>
    <col min="13321" max="13321" width="3.6640625" style="243" customWidth="1"/>
    <col min="13322" max="13324" width="10.6640625" style="243" customWidth="1"/>
    <col min="13325" max="13567" width="8.88671875" style="243"/>
    <col min="13568" max="13568" width="3.6640625" style="243" customWidth="1"/>
    <col min="13569" max="13570" width="11.109375" style="243" customWidth="1"/>
    <col min="13571" max="13571" width="13.44140625" style="243" customWidth="1"/>
    <col min="13572" max="13576" width="11.109375" style="243" customWidth="1"/>
    <col min="13577" max="13577" width="3.6640625" style="243" customWidth="1"/>
    <col min="13578" max="13580" width="10.6640625" style="243" customWidth="1"/>
    <col min="13581" max="13823" width="8.88671875" style="243"/>
    <col min="13824" max="13824" width="3.6640625" style="243" customWidth="1"/>
    <col min="13825" max="13826" width="11.109375" style="243" customWidth="1"/>
    <col min="13827" max="13827" width="13.44140625" style="243" customWidth="1"/>
    <col min="13828" max="13832" width="11.109375" style="243" customWidth="1"/>
    <col min="13833" max="13833" width="3.6640625" style="243" customWidth="1"/>
    <col min="13834" max="13836" width="10.6640625" style="243" customWidth="1"/>
    <col min="13837" max="14079" width="8.88671875" style="243"/>
    <col min="14080" max="14080" width="3.6640625" style="243" customWidth="1"/>
    <col min="14081" max="14082" width="11.109375" style="243" customWidth="1"/>
    <col min="14083" max="14083" width="13.44140625" style="243" customWidth="1"/>
    <col min="14084" max="14088" width="11.109375" style="243" customWidth="1"/>
    <col min="14089" max="14089" width="3.6640625" style="243" customWidth="1"/>
    <col min="14090" max="14092" width="10.6640625" style="243" customWidth="1"/>
    <col min="14093" max="14335" width="8.88671875" style="243"/>
    <col min="14336" max="14336" width="3.6640625" style="243" customWidth="1"/>
    <col min="14337" max="14338" width="11.109375" style="243" customWidth="1"/>
    <col min="14339" max="14339" width="13.44140625" style="243" customWidth="1"/>
    <col min="14340" max="14344" width="11.109375" style="243" customWidth="1"/>
    <col min="14345" max="14345" width="3.6640625" style="243" customWidth="1"/>
    <col min="14346" max="14348" width="10.6640625" style="243" customWidth="1"/>
    <col min="14349" max="14591" width="8.88671875" style="243"/>
    <col min="14592" max="14592" width="3.6640625" style="243" customWidth="1"/>
    <col min="14593" max="14594" width="11.109375" style="243" customWidth="1"/>
    <col min="14595" max="14595" width="13.44140625" style="243" customWidth="1"/>
    <col min="14596" max="14600" width="11.109375" style="243" customWidth="1"/>
    <col min="14601" max="14601" width="3.6640625" style="243" customWidth="1"/>
    <col min="14602" max="14604" width="10.6640625" style="243" customWidth="1"/>
    <col min="14605" max="14847" width="8.88671875" style="243"/>
    <col min="14848" max="14848" width="3.6640625" style="243" customWidth="1"/>
    <col min="14849" max="14850" width="11.109375" style="243" customWidth="1"/>
    <col min="14851" max="14851" width="13.44140625" style="243" customWidth="1"/>
    <col min="14852" max="14856" width="11.109375" style="243" customWidth="1"/>
    <col min="14857" max="14857" width="3.6640625" style="243" customWidth="1"/>
    <col min="14858" max="14860" width="10.6640625" style="243" customWidth="1"/>
    <col min="14861" max="15103" width="8.88671875" style="243"/>
    <col min="15104" max="15104" width="3.6640625" style="243" customWidth="1"/>
    <col min="15105" max="15106" width="11.109375" style="243" customWidth="1"/>
    <col min="15107" max="15107" width="13.44140625" style="243" customWidth="1"/>
    <col min="15108" max="15112" width="11.109375" style="243" customWidth="1"/>
    <col min="15113" max="15113" width="3.6640625" style="243" customWidth="1"/>
    <col min="15114" max="15116" width="10.6640625" style="243" customWidth="1"/>
    <col min="15117" max="15359" width="8.88671875" style="243"/>
    <col min="15360" max="15360" width="3.6640625" style="243" customWidth="1"/>
    <col min="15361" max="15362" width="11.109375" style="243" customWidth="1"/>
    <col min="15363" max="15363" width="13.44140625" style="243" customWidth="1"/>
    <col min="15364" max="15368" width="11.109375" style="243" customWidth="1"/>
    <col min="15369" max="15369" width="3.6640625" style="243" customWidth="1"/>
    <col min="15370" max="15372" width="10.6640625" style="243" customWidth="1"/>
    <col min="15373" max="15615" width="8.88671875" style="243"/>
    <col min="15616" max="15616" width="3.6640625" style="243" customWidth="1"/>
    <col min="15617" max="15618" width="11.109375" style="243" customWidth="1"/>
    <col min="15619" max="15619" width="13.44140625" style="243" customWidth="1"/>
    <col min="15620" max="15624" width="11.109375" style="243" customWidth="1"/>
    <col min="15625" max="15625" width="3.6640625" style="243" customWidth="1"/>
    <col min="15626" max="15628" width="10.6640625" style="243" customWidth="1"/>
    <col min="15629" max="15871" width="8.88671875" style="243"/>
    <col min="15872" max="15872" width="3.6640625" style="243" customWidth="1"/>
    <col min="15873" max="15874" width="11.109375" style="243" customWidth="1"/>
    <col min="15875" max="15875" width="13.44140625" style="243" customWidth="1"/>
    <col min="15876" max="15880" width="11.109375" style="243" customWidth="1"/>
    <col min="15881" max="15881" width="3.6640625" style="243" customWidth="1"/>
    <col min="15882" max="15884" width="10.6640625" style="243" customWidth="1"/>
    <col min="15885" max="16127" width="8.88671875" style="243"/>
    <col min="16128" max="16128" width="3.6640625" style="243" customWidth="1"/>
    <col min="16129" max="16130" width="11.109375" style="243" customWidth="1"/>
    <col min="16131" max="16131" width="13.44140625" style="243" customWidth="1"/>
    <col min="16132" max="16136" width="11.109375" style="243" customWidth="1"/>
    <col min="16137" max="16137" width="3.6640625" style="243" customWidth="1"/>
    <col min="16138" max="16140" width="10.6640625" style="243" customWidth="1"/>
    <col min="16141" max="16384" width="8.88671875" style="243"/>
  </cols>
  <sheetData>
    <row r="1" spans="1:18" ht="19.5" customHeight="1">
      <c r="A1" s="240" t="s">
        <v>7</v>
      </c>
      <c r="B1" s="241"/>
      <c r="C1" s="241"/>
      <c r="D1" s="241"/>
      <c r="E1" s="241"/>
      <c r="F1" s="241"/>
      <c r="G1" s="241"/>
      <c r="H1" s="241"/>
      <c r="I1" s="241"/>
      <c r="J1" s="242"/>
    </row>
    <row r="2" spans="1:18" ht="21">
      <c r="A2" s="245" t="s">
        <v>61</v>
      </c>
      <c r="B2" s="246"/>
      <c r="C2" s="246"/>
      <c r="D2" s="246"/>
      <c r="E2" s="246"/>
      <c r="F2" s="246"/>
      <c r="G2" s="246"/>
      <c r="H2" s="246"/>
      <c r="I2" s="246"/>
      <c r="J2" s="247"/>
    </row>
    <row r="3" spans="1:18" ht="15.6">
      <c r="A3" s="248" t="s">
        <v>62</v>
      </c>
      <c r="B3" s="249"/>
      <c r="C3" s="249"/>
      <c r="D3" s="249"/>
      <c r="E3" s="249"/>
      <c r="F3" s="249"/>
      <c r="G3" s="249"/>
      <c r="H3" s="249"/>
      <c r="I3" s="249"/>
      <c r="J3" s="250"/>
    </row>
    <row r="4" spans="1:18" ht="15.6">
      <c r="A4" s="248" t="s">
        <v>63</v>
      </c>
      <c r="B4" s="249"/>
      <c r="C4" s="249"/>
      <c r="D4" s="249"/>
      <c r="E4" s="249"/>
      <c r="F4" s="249"/>
      <c r="G4" s="249"/>
      <c r="H4" s="249"/>
      <c r="I4" s="249"/>
      <c r="J4" s="250"/>
    </row>
    <row r="5" spans="1:18">
      <c r="A5" s="251" t="s">
        <v>64</v>
      </c>
      <c r="B5" s="252"/>
      <c r="C5" s="252"/>
      <c r="D5" s="252"/>
      <c r="E5" s="252"/>
      <c r="F5" s="252"/>
      <c r="G5" s="252"/>
      <c r="H5" s="252"/>
      <c r="I5" s="252"/>
      <c r="J5" s="253"/>
    </row>
    <row r="6" spans="1:18" ht="21.6" customHeight="1">
      <c r="A6" s="254"/>
      <c r="B6" s="255" t="str">
        <f>Report!B6</f>
        <v>Ras Al Hekma International Airport</v>
      </c>
      <c r="C6" s="255"/>
      <c r="D6" s="255"/>
      <c r="E6" s="255"/>
      <c r="F6" s="256"/>
      <c r="G6" s="256"/>
      <c r="H6" s="255" t="str">
        <f>Report!O6</f>
        <v>File No.5143</v>
      </c>
      <c r="I6" s="255"/>
      <c r="J6" s="257"/>
    </row>
    <row r="7" spans="1:18" ht="20.100000000000001" customHeight="1">
      <c r="A7" s="258"/>
      <c r="B7" s="260" t="str">
        <f>Report!B7</f>
        <v>Project Spec :- Section 31 23 16.33 ( Excavation, Fill and Subgrade)</v>
      </c>
      <c r="C7" s="260"/>
      <c r="D7" s="260"/>
      <c r="E7" s="260"/>
      <c r="F7" s="260"/>
      <c r="G7" s="259"/>
      <c r="H7" s="260" t="str">
        <f>Proctor!I8</f>
        <v>Date: 06/09/2025</v>
      </c>
      <c r="I7" s="260"/>
      <c r="J7" s="261"/>
      <c r="K7" s="346"/>
      <c r="L7" s="344"/>
      <c r="M7" s="344"/>
      <c r="N7" s="344"/>
      <c r="O7" s="344"/>
      <c r="P7" s="344"/>
      <c r="Q7" s="344"/>
      <c r="R7" s="344"/>
    </row>
    <row r="8" spans="1:18" ht="24" customHeight="1">
      <c r="A8" s="262" t="s">
        <v>65</v>
      </c>
      <c r="B8" s="263"/>
      <c r="C8" s="263"/>
      <c r="D8" s="263"/>
      <c r="E8" s="263"/>
      <c r="F8" s="263"/>
      <c r="G8" s="263"/>
      <c r="H8" s="263"/>
      <c r="I8" s="263"/>
      <c r="J8" s="264"/>
      <c r="K8" s="346"/>
      <c r="L8" s="344"/>
      <c r="M8" s="344"/>
      <c r="N8" s="344"/>
      <c r="O8" s="344"/>
      <c r="P8" s="344"/>
      <c r="Q8" s="344"/>
      <c r="R8" s="344"/>
    </row>
    <row r="9" spans="1:18" ht="24" customHeight="1">
      <c r="A9" s="265" t="s">
        <v>66</v>
      </c>
      <c r="B9" s="266"/>
      <c r="C9" s="266"/>
      <c r="D9" s="266"/>
      <c r="E9" s="266"/>
      <c r="F9" s="266"/>
      <c r="G9" s="266"/>
      <c r="H9" s="266"/>
      <c r="I9" s="266"/>
      <c r="J9" s="267"/>
      <c r="K9" s="346"/>
      <c r="L9" s="344"/>
      <c r="M9" s="344"/>
      <c r="N9" s="344"/>
      <c r="O9" s="344"/>
      <c r="P9" s="344"/>
      <c r="Q9" s="344"/>
      <c r="R9" s="344"/>
    </row>
    <row r="10" spans="1:18" ht="24" customHeight="1">
      <c r="A10" s="268" t="s">
        <v>67</v>
      </c>
      <c r="B10" s="269"/>
      <c r="C10" s="269"/>
      <c r="D10" s="269"/>
      <c r="E10" s="269"/>
      <c r="F10" s="269"/>
      <c r="G10" s="269"/>
      <c r="H10" s="269"/>
      <c r="I10" s="269"/>
      <c r="J10" s="270"/>
      <c r="K10" s="346"/>
      <c r="L10" s="344"/>
      <c r="M10" s="344"/>
      <c r="N10" s="344"/>
      <c r="O10" s="344"/>
      <c r="P10" s="344"/>
      <c r="Q10" s="344"/>
      <c r="R10" s="344"/>
    </row>
    <row r="11" spans="1:18" ht="24" customHeight="1">
      <c r="A11" s="271"/>
      <c r="B11" s="272" t="s">
        <v>43</v>
      </c>
      <c r="C11" s="272"/>
      <c r="D11" s="352">
        <f>Report!F11</f>
        <v>45900</v>
      </c>
      <c r="E11" s="352"/>
      <c r="G11" s="351" t="s">
        <v>88</v>
      </c>
      <c r="H11" s="351"/>
      <c r="I11" s="352">
        <f>Report!F11+2</f>
        <v>45902</v>
      </c>
      <c r="J11" s="355"/>
      <c r="K11" s="346"/>
      <c r="L11" s="344"/>
      <c r="M11" s="344"/>
      <c r="N11" s="344"/>
      <c r="O11" s="344"/>
      <c r="P11" s="344"/>
      <c r="Q11" s="344"/>
      <c r="R11" s="344"/>
    </row>
    <row r="12" spans="1:18" s="276" customFormat="1" ht="24" customHeight="1">
      <c r="A12" s="273"/>
      <c r="B12" s="274" t="s">
        <v>44</v>
      </c>
      <c r="C12" s="274"/>
      <c r="D12" s="274" t="str">
        <f>Report!F12</f>
        <v>Saleh Swiker Soil 70% + Swiker Sand 30%</v>
      </c>
      <c r="E12" s="274"/>
      <c r="F12" s="274"/>
      <c r="G12" s="274"/>
      <c r="H12" s="353"/>
      <c r="I12" s="353"/>
      <c r="J12" s="275"/>
      <c r="K12" s="347"/>
      <c r="L12" s="343"/>
      <c r="M12" s="343"/>
      <c r="N12" s="343"/>
      <c r="O12" s="343"/>
      <c r="P12" s="343"/>
      <c r="Q12" s="343"/>
      <c r="R12" s="343"/>
    </row>
    <row r="13" spans="1:18" s="276" customFormat="1" ht="24" customHeight="1">
      <c r="A13" s="273"/>
      <c r="B13" s="272" t="s">
        <v>48</v>
      </c>
      <c r="C13" s="272"/>
      <c r="D13" s="272"/>
      <c r="E13" s="351" t="str">
        <f>Report!I13</f>
        <v>Fill / SM</v>
      </c>
      <c r="F13" s="351"/>
      <c r="G13" s="354"/>
      <c r="H13" s="354"/>
      <c r="I13" s="354"/>
      <c r="J13" s="275"/>
      <c r="K13" s="347"/>
      <c r="L13" s="343"/>
      <c r="M13" s="343"/>
      <c r="N13" s="343"/>
      <c r="O13" s="343"/>
      <c r="P13" s="343"/>
      <c r="Q13" s="343"/>
      <c r="R13" s="343"/>
    </row>
    <row r="14" spans="1:18" s="276" customFormat="1" ht="24" customHeight="1">
      <c r="A14" s="273"/>
      <c r="B14" s="277" t="s">
        <v>32</v>
      </c>
      <c r="C14" s="278">
        <f>Report!E14</f>
        <v>3</v>
      </c>
      <c r="D14" s="277"/>
      <c r="E14" s="277"/>
      <c r="F14" s="279"/>
      <c r="G14" s="279"/>
      <c r="H14" s="279"/>
      <c r="I14" s="279"/>
      <c r="J14" s="275"/>
      <c r="K14" s="347"/>
      <c r="L14" s="343"/>
      <c r="M14" s="343"/>
      <c r="N14" s="344"/>
      <c r="O14" s="343"/>
      <c r="P14" s="343"/>
      <c r="Q14" s="343"/>
      <c r="R14" s="343"/>
    </row>
    <row r="15" spans="1:18" s="276" customFormat="1" ht="24" customHeight="1">
      <c r="A15" s="273"/>
      <c r="B15" s="280" t="s">
        <v>33</v>
      </c>
      <c r="C15" s="278">
        <f>Report!E15</f>
        <v>50</v>
      </c>
      <c r="D15" s="277"/>
      <c r="E15" s="280"/>
      <c r="F15" s="279"/>
      <c r="G15" s="279"/>
      <c r="H15" s="279"/>
      <c r="I15" s="279"/>
      <c r="J15" s="275"/>
      <c r="K15" s="347"/>
      <c r="L15" s="343"/>
      <c r="M15" s="343"/>
      <c r="N15" s="343"/>
      <c r="O15" s="343"/>
      <c r="P15" s="343"/>
      <c r="Q15" s="343"/>
      <c r="R15" s="343"/>
    </row>
    <row r="16" spans="1:18" ht="6" customHeight="1">
      <c r="A16" s="281"/>
      <c r="B16" s="282"/>
      <c r="C16" s="282"/>
      <c r="D16" s="282"/>
      <c r="E16" s="282"/>
      <c r="F16" s="283"/>
      <c r="G16" s="283"/>
      <c r="H16" s="283"/>
      <c r="I16" s="283"/>
      <c r="J16" s="284"/>
      <c r="K16" s="346"/>
      <c r="L16" s="344"/>
      <c r="M16" s="344"/>
      <c r="N16" s="344"/>
      <c r="O16" s="344"/>
      <c r="P16" s="344"/>
      <c r="Q16" s="344"/>
      <c r="R16" s="344"/>
    </row>
    <row r="17" spans="1:18" ht="21" customHeight="1">
      <c r="A17" s="281"/>
      <c r="G17" s="285" t="s">
        <v>68</v>
      </c>
      <c r="H17" s="285" t="s">
        <v>69</v>
      </c>
      <c r="I17" s="286" t="s">
        <v>70</v>
      </c>
      <c r="J17" s="287"/>
      <c r="K17" s="346"/>
      <c r="L17" s="344"/>
      <c r="M17" s="344"/>
      <c r="N17" s="344"/>
      <c r="O17" s="344"/>
      <c r="P17" s="344"/>
      <c r="Q17" s="344"/>
      <c r="R17" s="344"/>
    </row>
    <row r="18" spans="1:18" ht="21" customHeight="1">
      <c r="A18" s="281"/>
      <c r="G18" s="288" t="s">
        <v>71</v>
      </c>
      <c r="H18" s="288" t="s">
        <v>72</v>
      </c>
      <c r="I18" s="288" t="s">
        <v>73</v>
      </c>
      <c r="J18" s="289"/>
      <c r="K18" s="346"/>
      <c r="L18" s="344"/>
      <c r="M18" s="344"/>
      <c r="N18" s="344"/>
      <c r="O18" s="344"/>
      <c r="P18" s="344"/>
      <c r="Q18" s="344"/>
      <c r="R18" s="344"/>
    </row>
    <row r="19" spans="1:18" ht="21" customHeight="1">
      <c r="A19" s="281"/>
      <c r="G19" s="290">
        <v>0</v>
      </c>
      <c r="H19" s="290">
        <f>0.219184*K19</f>
        <v>0</v>
      </c>
      <c r="I19" s="291">
        <v>0</v>
      </c>
      <c r="J19" s="289"/>
      <c r="K19" s="292">
        <v>0</v>
      </c>
      <c r="L19" s="344"/>
      <c r="M19" s="293"/>
      <c r="N19" s="344"/>
      <c r="O19" s="344"/>
      <c r="P19" s="344"/>
      <c r="Q19" s="344"/>
    </row>
    <row r="20" spans="1:18" ht="21" customHeight="1">
      <c r="A20" s="281"/>
      <c r="G20" s="295">
        <v>2.5000000000000001E-2</v>
      </c>
      <c r="H20" s="296">
        <f>405.05*K20/10000</f>
        <v>0.72909000000000002</v>
      </c>
      <c r="I20" s="297">
        <f>((H20*223.21)/3)</f>
        <v>54.246726300000006</v>
      </c>
      <c r="J20" s="298"/>
      <c r="K20" s="292">
        <v>18</v>
      </c>
      <c r="L20" s="344"/>
      <c r="M20" s="344"/>
      <c r="N20" s="344"/>
      <c r="O20" s="344"/>
      <c r="P20" s="344"/>
      <c r="Q20" s="344"/>
    </row>
    <row r="21" spans="1:18" ht="21" customHeight="1">
      <c r="A21" s="281"/>
      <c r="G21" s="296">
        <v>0.05</v>
      </c>
      <c r="H21" s="296">
        <f t="shared" ref="H21:H29" si="0">405.05*K21/10000</f>
        <v>1.417675</v>
      </c>
      <c r="I21" s="297">
        <f t="shared" ref="I21:I26" si="1">((H21*223.21)/3)</f>
        <v>105.47974558333334</v>
      </c>
      <c r="J21" s="298"/>
      <c r="K21" s="292">
        <v>35</v>
      </c>
      <c r="L21" s="344"/>
      <c r="M21" s="344"/>
      <c r="N21" s="344"/>
      <c r="O21" s="344"/>
      <c r="P21" s="344"/>
      <c r="Q21" s="344"/>
    </row>
    <row r="22" spans="1:18" ht="21" customHeight="1">
      <c r="A22" s="281"/>
      <c r="G22" s="296">
        <v>7.4999999999999997E-2</v>
      </c>
      <c r="H22" s="296">
        <f t="shared" si="0"/>
        <v>2.2277749999999998</v>
      </c>
      <c r="I22" s="297">
        <f t="shared" si="1"/>
        <v>165.75388591666666</v>
      </c>
      <c r="J22" s="298"/>
      <c r="K22" s="292">
        <v>55</v>
      </c>
      <c r="L22" s="344"/>
      <c r="M22" s="344"/>
      <c r="N22" s="344"/>
      <c r="O22" s="344"/>
      <c r="P22" s="344"/>
      <c r="Q22" s="344"/>
    </row>
    <row r="23" spans="1:18" ht="21" customHeight="1">
      <c r="A23" s="281"/>
      <c r="G23" s="296">
        <v>0.1</v>
      </c>
      <c r="H23" s="296">
        <f t="shared" si="0"/>
        <v>2.9973700000000001</v>
      </c>
      <c r="I23" s="297">
        <f t="shared" si="1"/>
        <v>223.01431923333334</v>
      </c>
      <c r="J23" s="298"/>
      <c r="K23" s="292">
        <v>74</v>
      </c>
      <c r="L23" s="344"/>
      <c r="M23" s="344"/>
      <c r="N23" s="344"/>
      <c r="O23" s="344"/>
      <c r="P23" s="344"/>
      <c r="Q23" s="344"/>
    </row>
    <row r="24" spans="1:18" ht="21" customHeight="1">
      <c r="A24" s="281"/>
      <c r="G24" s="296">
        <v>0.125</v>
      </c>
      <c r="H24" s="296">
        <f t="shared" si="0"/>
        <v>4.1315099999999996</v>
      </c>
      <c r="I24" s="297">
        <f t="shared" si="1"/>
        <v>307.39811570000001</v>
      </c>
      <c r="J24" s="298"/>
      <c r="K24" s="292">
        <v>102</v>
      </c>
      <c r="L24" s="344"/>
      <c r="M24" s="344"/>
      <c r="N24" s="344"/>
      <c r="O24" s="344"/>
      <c r="P24" s="344"/>
      <c r="Q24" s="344"/>
    </row>
    <row r="25" spans="1:18" ht="21" customHeight="1">
      <c r="A25" s="281"/>
      <c r="G25" s="296">
        <v>0.15</v>
      </c>
      <c r="H25" s="296">
        <f t="shared" si="0"/>
        <v>5.1441349999999995</v>
      </c>
      <c r="I25" s="297">
        <f t="shared" si="1"/>
        <v>382.74079111666668</v>
      </c>
      <c r="J25" s="298"/>
      <c r="K25" s="292">
        <v>127</v>
      </c>
      <c r="L25" s="344"/>
      <c r="M25" s="344"/>
      <c r="N25" s="344"/>
      <c r="O25" s="344"/>
      <c r="P25" s="344"/>
      <c r="Q25" s="344"/>
    </row>
    <row r="26" spans="1:18" ht="21" customHeight="1">
      <c r="A26" s="281"/>
      <c r="G26" s="296">
        <v>0.17499999999999999</v>
      </c>
      <c r="H26" s="296">
        <f t="shared" si="0"/>
        <v>6.2782749999999998</v>
      </c>
      <c r="I26" s="297">
        <f t="shared" si="1"/>
        <v>467.12458758333332</v>
      </c>
      <c r="J26" s="298"/>
      <c r="K26" s="292">
        <v>155</v>
      </c>
      <c r="L26" s="344"/>
      <c r="M26" s="344"/>
      <c r="N26" s="344"/>
      <c r="O26" s="344"/>
      <c r="P26" s="344"/>
      <c r="Q26" s="344"/>
    </row>
    <row r="27" spans="1:18" ht="21" customHeight="1">
      <c r="A27" s="281"/>
      <c r="G27" s="296">
        <v>0.2</v>
      </c>
      <c r="H27" s="296">
        <f t="shared" si="0"/>
        <v>6.8858499999999996</v>
      </c>
      <c r="I27" s="297">
        <f>((H27*223.21)/3)</f>
        <v>512.33019283333329</v>
      </c>
      <c r="J27" s="298"/>
      <c r="K27" s="292">
        <v>170</v>
      </c>
      <c r="L27" s="344"/>
      <c r="M27" s="344"/>
      <c r="N27" s="344"/>
      <c r="O27" s="344"/>
      <c r="P27" s="344"/>
      <c r="Q27" s="344"/>
    </row>
    <row r="28" spans="1:18" ht="21" customHeight="1">
      <c r="A28" s="281"/>
      <c r="G28" s="296">
        <v>0.3</v>
      </c>
      <c r="H28" s="296">
        <f t="shared" si="0"/>
        <v>7.2908999999999997</v>
      </c>
      <c r="I28" s="297">
        <f t="shared" ref="I28:I29" si="2">((H28*223.21)/3)</f>
        <v>542.467263</v>
      </c>
      <c r="J28" s="298"/>
      <c r="K28" s="292">
        <v>180</v>
      </c>
      <c r="L28" s="344"/>
      <c r="M28" s="344"/>
      <c r="N28" s="344"/>
      <c r="O28" s="344"/>
      <c r="P28" s="344"/>
      <c r="Q28" s="344"/>
    </row>
    <row r="29" spans="1:18" ht="21" customHeight="1">
      <c r="A29" s="281"/>
      <c r="G29" s="296">
        <v>0.4</v>
      </c>
      <c r="H29" s="296">
        <f t="shared" si="0"/>
        <v>7.4934250000000002</v>
      </c>
      <c r="I29" s="297">
        <f t="shared" si="2"/>
        <v>557.53579808333336</v>
      </c>
      <c r="J29" s="298"/>
      <c r="K29" s="292">
        <v>185</v>
      </c>
      <c r="L29" s="344"/>
      <c r="M29" s="344"/>
      <c r="N29" s="344"/>
      <c r="O29" s="344"/>
      <c r="P29" s="344"/>
      <c r="Q29" s="344"/>
    </row>
    <row r="30" spans="1:18" ht="21" customHeight="1">
      <c r="A30" s="300" t="s">
        <v>75</v>
      </c>
      <c r="H30" s="283"/>
      <c r="J30" s="284"/>
      <c r="K30" s="299"/>
      <c r="L30" s="344"/>
      <c r="M30" s="344"/>
      <c r="N30" s="344"/>
      <c r="O30" s="344"/>
      <c r="P30" s="344"/>
      <c r="Q30" s="344"/>
    </row>
    <row r="31" spans="1:18" ht="25.5" customHeight="1">
      <c r="A31" s="301"/>
      <c r="B31" s="302" t="s">
        <v>76</v>
      </c>
      <c r="C31" s="302"/>
      <c r="D31" s="302"/>
      <c r="E31" s="302"/>
      <c r="F31" s="302"/>
      <c r="G31" s="302"/>
      <c r="H31" s="302"/>
      <c r="I31" s="302"/>
      <c r="J31" s="303"/>
      <c r="K31" s="294"/>
      <c r="L31" s="344"/>
      <c r="M31" s="344"/>
      <c r="N31" s="344"/>
      <c r="O31" s="344"/>
      <c r="P31" s="344"/>
      <c r="Q31" s="344"/>
    </row>
    <row r="32" spans="1:18" ht="11.25" customHeight="1">
      <c r="A32" s="300"/>
      <c r="B32" s="304"/>
      <c r="C32" s="305"/>
      <c r="D32" s="306"/>
      <c r="E32" s="306"/>
      <c r="F32" s="306"/>
      <c r="G32" s="307"/>
      <c r="H32" s="283"/>
      <c r="J32" s="284"/>
      <c r="K32" s="294"/>
      <c r="L32" s="344"/>
      <c r="M32" s="344"/>
      <c r="N32" s="344"/>
      <c r="O32" s="344"/>
      <c r="P32" s="344"/>
      <c r="Q32" s="344"/>
    </row>
    <row r="33" spans="1:17" ht="22.5" customHeight="1">
      <c r="A33" s="300" t="s">
        <v>75</v>
      </c>
      <c r="B33" s="308" t="s">
        <v>77</v>
      </c>
      <c r="C33" s="308"/>
      <c r="D33" s="308"/>
      <c r="E33" s="309">
        <f>I23*100/1000</f>
        <v>22.301431923333332</v>
      </c>
      <c r="F33" s="308" t="s">
        <v>78</v>
      </c>
      <c r="G33" s="308"/>
      <c r="H33" s="308"/>
      <c r="I33" s="309">
        <f>I27*100/1500</f>
        <v>34.155346188888885</v>
      </c>
      <c r="J33" s="284"/>
      <c r="K33" s="294"/>
      <c r="L33" s="344"/>
      <c r="M33" s="344"/>
      <c r="N33" s="344"/>
      <c r="O33" s="344"/>
      <c r="P33" s="344"/>
      <c r="Q33" s="344"/>
    </row>
    <row r="34" spans="1:17" ht="22.5" customHeight="1">
      <c r="A34" s="300"/>
      <c r="B34" s="308" t="s">
        <v>79</v>
      </c>
      <c r="C34" s="308"/>
      <c r="D34" s="308"/>
      <c r="E34" s="309">
        <f>I33</f>
        <v>34.155346188888885</v>
      </c>
      <c r="F34" s="310" t="s">
        <v>80</v>
      </c>
      <c r="G34" s="311"/>
      <c r="H34" s="312"/>
      <c r="I34" s="313"/>
      <c r="J34" s="284"/>
      <c r="K34" s="294"/>
      <c r="L34" s="344"/>
      <c r="M34" s="344"/>
      <c r="N34" s="344"/>
      <c r="O34" s="344"/>
      <c r="P34" s="344"/>
      <c r="Q34" s="344"/>
    </row>
    <row r="35" spans="1:17" ht="22.5" customHeight="1">
      <c r="A35" s="300"/>
      <c r="B35" s="308" t="s">
        <v>81</v>
      </c>
      <c r="C35" s="308"/>
      <c r="D35" s="308"/>
      <c r="E35" s="295">
        <v>0</v>
      </c>
      <c r="F35" s="310" t="s">
        <v>82</v>
      </c>
      <c r="G35" s="311"/>
      <c r="H35" s="312"/>
      <c r="I35" s="314">
        <v>1.964</v>
      </c>
      <c r="J35" s="284"/>
      <c r="K35" s="294"/>
      <c r="L35" s="344"/>
      <c r="M35" s="344"/>
      <c r="N35" s="344"/>
      <c r="O35" s="315"/>
      <c r="P35" s="345"/>
      <c r="Q35" s="344"/>
    </row>
    <row r="36" spans="1:17" ht="10.5" customHeight="1">
      <c r="A36" s="281"/>
      <c r="B36" s="316"/>
      <c r="C36" s="316"/>
      <c r="D36" s="316"/>
      <c r="E36" s="316"/>
      <c r="F36" s="316"/>
      <c r="H36" s="317"/>
      <c r="J36" s="284"/>
      <c r="K36" s="294"/>
      <c r="L36" s="344"/>
      <c r="M36" s="344"/>
      <c r="N36" s="344"/>
      <c r="O36" s="318"/>
      <c r="P36" s="315"/>
      <c r="Q36" s="344"/>
    </row>
    <row r="37" spans="1:17" ht="8.25" customHeight="1">
      <c r="A37" s="319"/>
      <c r="B37" s="320"/>
      <c r="C37" s="321"/>
      <c r="D37" s="322"/>
      <c r="E37" s="322"/>
      <c r="F37" s="322"/>
      <c r="G37" s="322"/>
      <c r="H37" s="322"/>
      <c r="I37" s="322"/>
      <c r="J37" s="284"/>
      <c r="K37" s="294"/>
      <c r="L37" s="344"/>
      <c r="M37" s="344"/>
      <c r="N37" s="344"/>
      <c r="O37" s="318"/>
      <c r="P37" s="345"/>
      <c r="Q37" s="344"/>
    </row>
    <row r="38" spans="1:17" ht="10.5" customHeight="1">
      <c r="A38" s="301"/>
      <c r="B38" s="323"/>
      <c r="C38" s="324"/>
      <c r="D38" s="324"/>
      <c r="E38" s="324"/>
      <c r="F38" s="324"/>
      <c r="G38" s="324"/>
      <c r="H38" s="324"/>
      <c r="I38" s="324"/>
      <c r="J38" s="325"/>
      <c r="K38" s="294"/>
      <c r="L38" s="294"/>
      <c r="M38" s="294"/>
      <c r="N38" s="294"/>
      <c r="P38" s="294"/>
    </row>
    <row r="39" spans="1:17" ht="15" customHeight="1">
      <c r="A39" s="281"/>
      <c r="B39" s="326" t="str">
        <f>[1]Report!B40</f>
        <v>Prepared by : Eng. Alaa Hassan</v>
      </c>
      <c r="J39" s="284"/>
      <c r="P39" s="294"/>
    </row>
    <row r="40" spans="1:17" ht="15" customHeight="1">
      <c r="A40" s="281"/>
      <c r="J40" s="284"/>
    </row>
    <row r="41" spans="1:17" ht="15" customHeight="1" thickBot="1">
      <c r="A41" s="327"/>
      <c r="B41" s="328"/>
      <c r="C41" s="328"/>
      <c r="D41" s="328"/>
      <c r="E41" s="328"/>
      <c r="F41" s="328"/>
      <c r="G41" s="328"/>
      <c r="H41" s="328"/>
      <c r="I41" s="329" t="s">
        <v>83</v>
      </c>
      <c r="J41" s="330"/>
    </row>
  </sheetData>
  <mergeCells count="28">
    <mergeCell ref="I11:J11"/>
    <mergeCell ref="G11:H11"/>
    <mergeCell ref="O36:O37"/>
    <mergeCell ref="B7:F7"/>
    <mergeCell ref="B11:C11"/>
    <mergeCell ref="D11:E11"/>
    <mergeCell ref="B12:C12"/>
    <mergeCell ref="D12:G12"/>
    <mergeCell ref="B13:D13"/>
    <mergeCell ref="B34:D34"/>
    <mergeCell ref="F34:H34"/>
    <mergeCell ref="B35:D35"/>
    <mergeCell ref="F35:H35"/>
    <mergeCell ref="B31:I31"/>
    <mergeCell ref="B33:D33"/>
    <mergeCell ref="F33:H33"/>
    <mergeCell ref="E13:F13"/>
    <mergeCell ref="H7:I7"/>
    <mergeCell ref="A8:J8"/>
    <mergeCell ref="A9:J9"/>
    <mergeCell ref="A10:I10"/>
    <mergeCell ref="A1:J1"/>
    <mergeCell ref="A2:J2"/>
    <mergeCell ref="A3:J3"/>
    <mergeCell ref="A4:J4"/>
    <mergeCell ref="A5:J5"/>
    <mergeCell ref="B6:E6"/>
    <mergeCell ref="H6:I6"/>
  </mergeCells>
  <printOptions horizontalCentered="1" verticalCentered="1"/>
  <pageMargins left="0" right="0" top="0" bottom="0" header="0" footer="0"/>
  <pageSetup paperSize="9" scale="98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BB4AE-0515-4D2B-A56F-7EDFBF48B1A9}">
  <dimension ref="A1:R41"/>
  <sheetViews>
    <sheetView showGridLines="0" view="pageBreakPreview" topLeftCell="A19" zoomScale="110" zoomScaleNormal="100" zoomScaleSheetLayoutView="110" workbookViewId="0">
      <selection activeCell="I34" sqref="I34"/>
    </sheetView>
  </sheetViews>
  <sheetFormatPr defaultRowHeight="13.2"/>
  <cols>
    <col min="1" max="1" width="3.6640625" style="243" customWidth="1"/>
    <col min="2" max="2" width="12.44140625" style="243" customWidth="1"/>
    <col min="3" max="3" width="11.109375" style="243" customWidth="1"/>
    <col min="4" max="4" width="13.44140625" style="243" customWidth="1"/>
    <col min="5" max="9" width="11.109375" style="243" customWidth="1"/>
    <col min="10" max="10" width="3.6640625" style="243" customWidth="1"/>
    <col min="11" max="11" width="10.6640625" style="243" customWidth="1"/>
    <col min="12" max="12" width="15.109375" style="243" bestFit="1" customWidth="1"/>
    <col min="13" max="13" width="10" style="243" bestFit="1" customWidth="1"/>
    <col min="14" max="254" width="8.88671875" style="243"/>
    <col min="255" max="255" width="3.6640625" style="243" customWidth="1"/>
    <col min="256" max="257" width="11.109375" style="243" customWidth="1"/>
    <col min="258" max="258" width="13.44140625" style="243" customWidth="1"/>
    <col min="259" max="263" width="11.109375" style="243" customWidth="1"/>
    <col min="264" max="264" width="3.6640625" style="243" customWidth="1"/>
    <col min="265" max="267" width="10.6640625" style="243" customWidth="1"/>
    <col min="268" max="510" width="8.88671875" style="243"/>
    <col min="511" max="511" width="3.6640625" style="243" customWidth="1"/>
    <col min="512" max="513" width="11.109375" style="243" customWidth="1"/>
    <col min="514" max="514" width="13.44140625" style="243" customWidth="1"/>
    <col min="515" max="519" width="11.109375" style="243" customWidth="1"/>
    <col min="520" max="520" width="3.6640625" style="243" customWidth="1"/>
    <col min="521" max="523" width="10.6640625" style="243" customWidth="1"/>
    <col min="524" max="766" width="8.88671875" style="243"/>
    <col min="767" max="767" width="3.6640625" style="243" customWidth="1"/>
    <col min="768" max="769" width="11.109375" style="243" customWidth="1"/>
    <col min="770" max="770" width="13.44140625" style="243" customWidth="1"/>
    <col min="771" max="775" width="11.109375" style="243" customWidth="1"/>
    <col min="776" max="776" width="3.6640625" style="243" customWidth="1"/>
    <col min="777" max="779" width="10.6640625" style="243" customWidth="1"/>
    <col min="780" max="1022" width="8.88671875" style="243"/>
    <col min="1023" max="1023" width="3.6640625" style="243" customWidth="1"/>
    <col min="1024" max="1025" width="11.109375" style="243" customWidth="1"/>
    <col min="1026" max="1026" width="13.44140625" style="243" customWidth="1"/>
    <col min="1027" max="1031" width="11.109375" style="243" customWidth="1"/>
    <col min="1032" max="1032" width="3.6640625" style="243" customWidth="1"/>
    <col min="1033" max="1035" width="10.6640625" style="243" customWidth="1"/>
    <col min="1036" max="1278" width="8.88671875" style="243"/>
    <col min="1279" max="1279" width="3.6640625" style="243" customWidth="1"/>
    <col min="1280" max="1281" width="11.109375" style="243" customWidth="1"/>
    <col min="1282" max="1282" width="13.44140625" style="243" customWidth="1"/>
    <col min="1283" max="1287" width="11.109375" style="243" customWidth="1"/>
    <col min="1288" max="1288" width="3.6640625" style="243" customWidth="1"/>
    <col min="1289" max="1291" width="10.6640625" style="243" customWidth="1"/>
    <col min="1292" max="1534" width="8.88671875" style="243"/>
    <col min="1535" max="1535" width="3.6640625" style="243" customWidth="1"/>
    <col min="1536" max="1537" width="11.109375" style="243" customWidth="1"/>
    <col min="1538" max="1538" width="13.44140625" style="243" customWidth="1"/>
    <col min="1539" max="1543" width="11.109375" style="243" customWidth="1"/>
    <col min="1544" max="1544" width="3.6640625" style="243" customWidth="1"/>
    <col min="1545" max="1547" width="10.6640625" style="243" customWidth="1"/>
    <col min="1548" max="1790" width="8.88671875" style="243"/>
    <col min="1791" max="1791" width="3.6640625" style="243" customWidth="1"/>
    <col min="1792" max="1793" width="11.109375" style="243" customWidth="1"/>
    <col min="1794" max="1794" width="13.44140625" style="243" customWidth="1"/>
    <col min="1795" max="1799" width="11.109375" style="243" customWidth="1"/>
    <col min="1800" max="1800" width="3.6640625" style="243" customWidth="1"/>
    <col min="1801" max="1803" width="10.6640625" style="243" customWidth="1"/>
    <col min="1804" max="2046" width="8.88671875" style="243"/>
    <col min="2047" max="2047" width="3.6640625" style="243" customWidth="1"/>
    <col min="2048" max="2049" width="11.109375" style="243" customWidth="1"/>
    <col min="2050" max="2050" width="13.44140625" style="243" customWidth="1"/>
    <col min="2051" max="2055" width="11.109375" style="243" customWidth="1"/>
    <col min="2056" max="2056" width="3.6640625" style="243" customWidth="1"/>
    <col min="2057" max="2059" width="10.6640625" style="243" customWidth="1"/>
    <col min="2060" max="2302" width="8.88671875" style="243"/>
    <col min="2303" max="2303" width="3.6640625" style="243" customWidth="1"/>
    <col min="2304" max="2305" width="11.109375" style="243" customWidth="1"/>
    <col min="2306" max="2306" width="13.44140625" style="243" customWidth="1"/>
    <col min="2307" max="2311" width="11.109375" style="243" customWidth="1"/>
    <col min="2312" max="2312" width="3.6640625" style="243" customWidth="1"/>
    <col min="2313" max="2315" width="10.6640625" style="243" customWidth="1"/>
    <col min="2316" max="2558" width="8.88671875" style="243"/>
    <col min="2559" max="2559" width="3.6640625" style="243" customWidth="1"/>
    <col min="2560" max="2561" width="11.109375" style="243" customWidth="1"/>
    <col min="2562" max="2562" width="13.44140625" style="243" customWidth="1"/>
    <col min="2563" max="2567" width="11.109375" style="243" customWidth="1"/>
    <col min="2568" max="2568" width="3.6640625" style="243" customWidth="1"/>
    <col min="2569" max="2571" width="10.6640625" style="243" customWidth="1"/>
    <col min="2572" max="2814" width="8.88671875" style="243"/>
    <col min="2815" max="2815" width="3.6640625" style="243" customWidth="1"/>
    <col min="2816" max="2817" width="11.109375" style="243" customWidth="1"/>
    <col min="2818" max="2818" width="13.44140625" style="243" customWidth="1"/>
    <col min="2819" max="2823" width="11.109375" style="243" customWidth="1"/>
    <col min="2824" max="2824" width="3.6640625" style="243" customWidth="1"/>
    <col min="2825" max="2827" width="10.6640625" style="243" customWidth="1"/>
    <col min="2828" max="3070" width="8.88671875" style="243"/>
    <col min="3071" max="3071" width="3.6640625" style="243" customWidth="1"/>
    <col min="3072" max="3073" width="11.109375" style="243" customWidth="1"/>
    <col min="3074" max="3074" width="13.44140625" style="243" customWidth="1"/>
    <col min="3075" max="3079" width="11.109375" style="243" customWidth="1"/>
    <col min="3080" max="3080" width="3.6640625" style="243" customWidth="1"/>
    <col min="3081" max="3083" width="10.6640625" style="243" customWidth="1"/>
    <col min="3084" max="3326" width="8.88671875" style="243"/>
    <col min="3327" max="3327" width="3.6640625" style="243" customWidth="1"/>
    <col min="3328" max="3329" width="11.109375" style="243" customWidth="1"/>
    <col min="3330" max="3330" width="13.44140625" style="243" customWidth="1"/>
    <col min="3331" max="3335" width="11.109375" style="243" customWidth="1"/>
    <col min="3336" max="3336" width="3.6640625" style="243" customWidth="1"/>
    <col min="3337" max="3339" width="10.6640625" style="243" customWidth="1"/>
    <col min="3340" max="3582" width="8.88671875" style="243"/>
    <col min="3583" max="3583" width="3.6640625" style="243" customWidth="1"/>
    <col min="3584" max="3585" width="11.109375" style="243" customWidth="1"/>
    <col min="3586" max="3586" width="13.44140625" style="243" customWidth="1"/>
    <col min="3587" max="3591" width="11.109375" style="243" customWidth="1"/>
    <col min="3592" max="3592" width="3.6640625" style="243" customWidth="1"/>
    <col min="3593" max="3595" width="10.6640625" style="243" customWidth="1"/>
    <col min="3596" max="3838" width="8.88671875" style="243"/>
    <col min="3839" max="3839" width="3.6640625" style="243" customWidth="1"/>
    <col min="3840" max="3841" width="11.109375" style="243" customWidth="1"/>
    <col min="3842" max="3842" width="13.44140625" style="243" customWidth="1"/>
    <col min="3843" max="3847" width="11.109375" style="243" customWidth="1"/>
    <col min="3848" max="3848" width="3.6640625" style="243" customWidth="1"/>
    <col min="3849" max="3851" width="10.6640625" style="243" customWidth="1"/>
    <col min="3852" max="4094" width="8.88671875" style="243"/>
    <col min="4095" max="4095" width="3.6640625" style="243" customWidth="1"/>
    <col min="4096" max="4097" width="11.109375" style="243" customWidth="1"/>
    <col min="4098" max="4098" width="13.44140625" style="243" customWidth="1"/>
    <col min="4099" max="4103" width="11.109375" style="243" customWidth="1"/>
    <col min="4104" max="4104" width="3.6640625" style="243" customWidth="1"/>
    <col min="4105" max="4107" width="10.6640625" style="243" customWidth="1"/>
    <col min="4108" max="4350" width="8.88671875" style="243"/>
    <col min="4351" max="4351" width="3.6640625" style="243" customWidth="1"/>
    <col min="4352" max="4353" width="11.109375" style="243" customWidth="1"/>
    <col min="4354" max="4354" width="13.44140625" style="243" customWidth="1"/>
    <col min="4355" max="4359" width="11.109375" style="243" customWidth="1"/>
    <col min="4360" max="4360" width="3.6640625" style="243" customWidth="1"/>
    <col min="4361" max="4363" width="10.6640625" style="243" customWidth="1"/>
    <col min="4364" max="4606" width="8.88671875" style="243"/>
    <col min="4607" max="4607" width="3.6640625" style="243" customWidth="1"/>
    <col min="4608" max="4609" width="11.109375" style="243" customWidth="1"/>
    <col min="4610" max="4610" width="13.44140625" style="243" customWidth="1"/>
    <col min="4611" max="4615" width="11.109375" style="243" customWidth="1"/>
    <col min="4616" max="4616" width="3.6640625" style="243" customWidth="1"/>
    <col min="4617" max="4619" width="10.6640625" style="243" customWidth="1"/>
    <col min="4620" max="4862" width="8.88671875" style="243"/>
    <col min="4863" max="4863" width="3.6640625" style="243" customWidth="1"/>
    <col min="4864" max="4865" width="11.109375" style="243" customWidth="1"/>
    <col min="4866" max="4866" width="13.44140625" style="243" customWidth="1"/>
    <col min="4867" max="4871" width="11.109375" style="243" customWidth="1"/>
    <col min="4872" max="4872" width="3.6640625" style="243" customWidth="1"/>
    <col min="4873" max="4875" width="10.6640625" style="243" customWidth="1"/>
    <col min="4876" max="5118" width="8.88671875" style="243"/>
    <col min="5119" max="5119" width="3.6640625" style="243" customWidth="1"/>
    <col min="5120" max="5121" width="11.109375" style="243" customWidth="1"/>
    <col min="5122" max="5122" width="13.44140625" style="243" customWidth="1"/>
    <col min="5123" max="5127" width="11.109375" style="243" customWidth="1"/>
    <col min="5128" max="5128" width="3.6640625" style="243" customWidth="1"/>
    <col min="5129" max="5131" width="10.6640625" style="243" customWidth="1"/>
    <col min="5132" max="5374" width="8.88671875" style="243"/>
    <col min="5375" max="5375" width="3.6640625" style="243" customWidth="1"/>
    <col min="5376" max="5377" width="11.109375" style="243" customWidth="1"/>
    <col min="5378" max="5378" width="13.44140625" style="243" customWidth="1"/>
    <col min="5379" max="5383" width="11.109375" style="243" customWidth="1"/>
    <col min="5384" max="5384" width="3.6640625" style="243" customWidth="1"/>
    <col min="5385" max="5387" width="10.6640625" style="243" customWidth="1"/>
    <col min="5388" max="5630" width="8.88671875" style="243"/>
    <col min="5631" max="5631" width="3.6640625" style="243" customWidth="1"/>
    <col min="5632" max="5633" width="11.109375" style="243" customWidth="1"/>
    <col min="5634" max="5634" width="13.44140625" style="243" customWidth="1"/>
    <col min="5635" max="5639" width="11.109375" style="243" customWidth="1"/>
    <col min="5640" max="5640" width="3.6640625" style="243" customWidth="1"/>
    <col min="5641" max="5643" width="10.6640625" style="243" customWidth="1"/>
    <col min="5644" max="5886" width="8.88671875" style="243"/>
    <col min="5887" max="5887" width="3.6640625" style="243" customWidth="1"/>
    <col min="5888" max="5889" width="11.109375" style="243" customWidth="1"/>
    <col min="5890" max="5890" width="13.44140625" style="243" customWidth="1"/>
    <col min="5891" max="5895" width="11.109375" style="243" customWidth="1"/>
    <col min="5896" max="5896" width="3.6640625" style="243" customWidth="1"/>
    <col min="5897" max="5899" width="10.6640625" style="243" customWidth="1"/>
    <col min="5900" max="6142" width="8.88671875" style="243"/>
    <col min="6143" max="6143" width="3.6640625" style="243" customWidth="1"/>
    <col min="6144" max="6145" width="11.109375" style="243" customWidth="1"/>
    <col min="6146" max="6146" width="13.44140625" style="243" customWidth="1"/>
    <col min="6147" max="6151" width="11.109375" style="243" customWidth="1"/>
    <col min="6152" max="6152" width="3.6640625" style="243" customWidth="1"/>
    <col min="6153" max="6155" width="10.6640625" style="243" customWidth="1"/>
    <col min="6156" max="6398" width="8.88671875" style="243"/>
    <col min="6399" max="6399" width="3.6640625" style="243" customWidth="1"/>
    <col min="6400" max="6401" width="11.109375" style="243" customWidth="1"/>
    <col min="6402" max="6402" width="13.44140625" style="243" customWidth="1"/>
    <col min="6403" max="6407" width="11.109375" style="243" customWidth="1"/>
    <col min="6408" max="6408" width="3.6640625" style="243" customWidth="1"/>
    <col min="6409" max="6411" width="10.6640625" style="243" customWidth="1"/>
    <col min="6412" max="6654" width="8.88671875" style="243"/>
    <col min="6655" max="6655" width="3.6640625" style="243" customWidth="1"/>
    <col min="6656" max="6657" width="11.109375" style="243" customWidth="1"/>
    <col min="6658" max="6658" width="13.44140625" style="243" customWidth="1"/>
    <col min="6659" max="6663" width="11.109375" style="243" customWidth="1"/>
    <col min="6664" max="6664" width="3.6640625" style="243" customWidth="1"/>
    <col min="6665" max="6667" width="10.6640625" style="243" customWidth="1"/>
    <col min="6668" max="6910" width="8.88671875" style="243"/>
    <col min="6911" max="6911" width="3.6640625" style="243" customWidth="1"/>
    <col min="6912" max="6913" width="11.109375" style="243" customWidth="1"/>
    <col min="6914" max="6914" width="13.44140625" style="243" customWidth="1"/>
    <col min="6915" max="6919" width="11.109375" style="243" customWidth="1"/>
    <col min="6920" max="6920" width="3.6640625" style="243" customWidth="1"/>
    <col min="6921" max="6923" width="10.6640625" style="243" customWidth="1"/>
    <col min="6924" max="7166" width="8.88671875" style="243"/>
    <col min="7167" max="7167" width="3.6640625" style="243" customWidth="1"/>
    <col min="7168" max="7169" width="11.109375" style="243" customWidth="1"/>
    <col min="7170" max="7170" width="13.44140625" style="243" customWidth="1"/>
    <col min="7171" max="7175" width="11.109375" style="243" customWidth="1"/>
    <col min="7176" max="7176" width="3.6640625" style="243" customWidth="1"/>
    <col min="7177" max="7179" width="10.6640625" style="243" customWidth="1"/>
    <col min="7180" max="7422" width="8.88671875" style="243"/>
    <col min="7423" max="7423" width="3.6640625" style="243" customWidth="1"/>
    <col min="7424" max="7425" width="11.109375" style="243" customWidth="1"/>
    <col min="7426" max="7426" width="13.44140625" style="243" customWidth="1"/>
    <col min="7427" max="7431" width="11.109375" style="243" customWidth="1"/>
    <col min="7432" max="7432" width="3.6640625" style="243" customWidth="1"/>
    <col min="7433" max="7435" width="10.6640625" style="243" customWidth="1"/>
    <col min="7436" max="7678" width="8.88671875" style="243"/>
    <col min="7679" max="7679" width="3.6640625" style="243" customWidth="1"/>
    <col min="7680" max="7681" width="11.109375" style="243" customWidth="1"/>
    <col min="7682" max="7682" width="13.44140625" style="243" customWidth="1"/>
    <col min="7683" max="7687" width="11.109375" style="243" customWidth="1"/>
    <col min="7688" max="7688" width="3.6640625" style="243" customWidth="1"/>
    <col min="7689" max="7691" width="10.6640625" style="243" customWidth="1"/>
    <col min="7692" max="7934" width="8.88671875" style="243"/>
    <col min="7935" max="7935" width="3.6640625" style="243" customWidth="1"/>
    <col min="7936" max="7937" width="11.109375" style="243" customWidth="1"/>
    <col min="7938" max="7938" width="13.44140625" style="243" customWidth="1"/>
    <col min="7939" max="7943" width="11.109375" style="243" customWidth="1"/>
    <col min="7944" max="7944" width="3.6640625" style="243" customWidth="1"/>
    <col min="7945" max="7947" width="10.6640625" style="243" customWidth="1"/>
    <col min="7948" max="8190" width="8.88671875" style="243"/>
    <col min="8191" max="8191" width="3.6640625" style="243" customWidth="1"/>
    <col min="8192" max="8193" width="11.109375" style="243" customWidth="1"/>
    <col min="8194" max="8194" width="13.44140625" style="243" customWidth="1"/>
    <col min="8195" max="8199" width="11.109375" style="243" customWidth="1"/>
    <col min="8200" max="8200" width="3.6640625" style="243" customWidth="1"/>
    <col min="8201" max="8203" width="10.6640625" style="243" customWidth="1"/>
    <col min="8204" max="8446" width="8.88671875" style="243"/>
    <col min="8447" max="8447" width="3.6640625" style="243" customWidth="1"/>
    <col min="8448" max="8449" width="11.109375" style="243" customWidth="1"/>
    <col min="8450" max="8450" width="13.44140625" style="243" customWidth="1"/>
    <col min="8451" max="8455" width="11.109375" style="243" customWidth="1"/>
    <col min="8456" max="8456" width="3.6640625" style="243" customWidth="1"/>
    <col min="8457" max="8459" width="10.6640625" style="243" customWidth="1"/>
    <col min="8460" max="8702" width="8.88671875" style="243"/>
    <col min="8703" max="8703" width="3.6640625" style="243" customWidth="1"/>
    <col min="8704" max="8705" width="11.109375" style="243" customWidth="1"/>
    <col min="8706" max="8706" width="13.44140625" style="243" customWidth="1"/>
    <col min="8707" max="8711" width="11.109375" style="243" customWidth="1"/>
    <col min="8712" max="8712" width="3.6640625" style="243" customWidth="1"/>
    <col min="8713" max="8715" width="10.6640625" style="243" customWidth="1"/>
    <col min="8716" max="8958" width="8.88671875" style="243"/>
    <col min="8959" max="8959" width="3.6640625" style="243" customWidth="1"/>
    <col min="8960" max="8961" width="11.109375" style="243" customWidth="1"/>
    <col min="8962" max="8962" width="13.44140625" style="243" customWidth="1"/>
    <col min="8963" max="8967" width="11.109375" style="243" customWidth="1"/>
    <col min="8968" max="8968" width="3.6640625" style="243" customWidth="1"/>
    <col min="8969" max="8971" width="10.6640625" style="243" customWidth="1"/>
    <col min="8972" max="9214" width="8.88671875" style="243"/>
    <col min="9215" max="9215" width="3.6640625" style="243" customWidth="1"/>
    <col min="9216" max="9217" width="11.109375" style="243" customWidth="1"/>
    <col min="9218" max="9218" width="13.44140625" style="243" customWidth="1"/>
    <col min="9219" max="9223" width="11.109375" style="243" customWidth="1"/>
    <col min="9224" max="9224" width="3.6640625" style="243" customWidth="1"/>
    <col min="9225" max="9227" width="10.6640625" style="243" customWidth="1"/>
    <col min="9228" max="9470" width="8.88671875" style="243"/>
    <col min="9471" max="9471" width="3.6640625" style="243" customWidth="1"/>
    <col min="9472" max="9473" width="11.109375" style="243" customWidth="1"/>
    <col min="9474" max="9474" width="13.44140625" style="243" customWidth="1"/>
    <col min="9475" max="9479" width="11.109375" style="243" customWidth="1"/>
    <col min="9480" max="9480" width="3.6640625" style="243" customWidth="1"/>
    <col min="9481" max="9483" width="10.6640625" style="243" customWidth="1"/>
    <col min="9484" max="9726" width="8.88671875" style="243"/>
    <col min="9727" max="9727" width="3.6640625" style="243" customWidth="1"/>
    <col min="9728" max="9729" width="11.109375" style="243" customWidth="1"/>
    <col min="9730" max="9730" width="13.44140625" style="243" customWidth="1"/>
    <col min="9731" max="9735" width="11.109375" style="243" customWidth="1"/>
    <col min="9736" max="9736" width="3.6640625" style="243" customWidth="1"/>
    <col min="9737" max="9739" width="10.6640625" style="243" customWidth="1"/>
    <col min="9740" max="9982" width="8.88671875" style="243"/>
    <col min="9983" max="9983" width="3.6640625" style="243" customWidth="1"/>
    <col min="9984" max="9985" width="11.109375" style="243" customWidth="1"/>
    <col min="9986" max="9986" width="13.44140625" style="243" customWidth="1"/>
    <col min="9987" max="9991" width="11.109375" style="243" customWidth="1"/>
    <col min="9992" max="9992" width="3.6640625" style="243" customWidth="1"/>
    <col min="9993" max="9995" width="10.6640625" style="243" customWidth="1"/>
    <col min="9996" max="10238" width="8.88671875" style="243"/>
    <col min="10239" max="10239" width="3.6640625" style="243" customWidth="1"/>
    <col min="10240" max="10241" width="11.109375" style="243" customWidth="1"/>
    <col min="10242" max="10242" width="13.44140625" style="243" customWidth="1"/>
    <col min="10243" max="10247" width="11.109375" style="243" customWidth="1"/>
    <col min="10248" max="10248" width="3.6640625" style="243" customWidth="1"/>
    <col min="10249" max="10251" width="10.6640625" style="243" customWidth="1"/>
    <col min="10252" max="10494" width="8.88671875" style="243"/>
    <col min="10495" max="10495" width="3.6640625" style="243" customWidth="1"/>
    <col min="10496" max="10497" width="11.109375" style="243" customWidth="1"/>
    <col min="10498" max="10498" width="13.44140625" style="243" customWidth="1"/>
    <col min="10499" max="10503" width="11.109375" style="243" customWidth="1"/>
    <col min="10504" max="10504" width="3.6640625" style="243" customWidth="1"/>
    <col min="10505" max="10507" width="10.6640625" style="243" customWidth="1"/>
    <col min="10508" max="10750" width="8.88671875" style="243"/>
    <col min="10751" max="10751" width="3.6640625" style="243" customWidth="1"/>
    <col min="10752" max="10753" width="11.109375" style="243" customWidth="1"/>
    <col min="10754" max="10754" width="13.44140625" style="243" customWidth="1"/>
    <col min="10755" max="10759" width="11.109375" style="243" customWidth="1"/>
    <col min="10760" max="10760" width="3.6640625" style="243" customWidth="1"/>
    <col min="10761" max="10763" width="10.6640625" style="243" customWidth="1"/>
    <col min="10764" max="11006" width="8.88671875" style="243"/>
    <col min="11007" max="11007" width="3.6640625" style="243" customWidth="1"/>
    <col min="11008" max="11009" width="11.109375" style="243" customWidth="1"/>
    <col min="11010" max="11010" width="13.44140625" style="243" customWidth="1"/>
    <col min="11011" max="11015" width="11.109375" style="243" customWidth="1"/>
    <col min="11016" max="11016" width="3.6640625" style="243" customWidth="1"/>
    <col min="11017" max="11019" width="10.6640625" style="243" customWidth="1"/>
    <col min="11020" max="11262" width="8.88671875" style="243"/>
    <col min="11263" max="11263" width="3.6640625" style="243" customWidth="1"/>
    <col min="11264" max="11265" width="11.109375" style="243" customWidth="1"/>
    <col min="11266" max="11266" width="13.44140625" style="243" customWidth="1"/>
    <col min="11267" max="11271" width="11.109375" style="243" customWidth="1"/>
    <col min="11272" max="11272" width="3.6640625" style="243" customWidth="1"/>
    <col min="11273" max="11275" width="10.6640625" style="243" customWidth="1"/>
    <col min="11276" max="11518" width="8.88671875" style="243"/>
    <col min="11519" max="11519" width="3.6640625" style="243" customWidth="1"/>
    <col min="11520" max="11521" width="11.109375" style="243" customWidth="1"/>
    <col min="11522" max="11522" width="13.44140625" style="243" customWidth="1"/>
    <col min="11523" max="11527" width="11.109375" style="243" customWidth="1"/>
    <col min="11528" max="11528" width="3.6640625" style="243" customWidth="1"/>
    <col min="11529" max="11531" width="10.6640625" style="243" customWidth="1"/>
    <col min="11532" max="11774" width="8.88671875" style="243"/>
    <col min="11775" max="11775" width="3.6640625" style="243" customWidth="1"/>
    <col min="11776" max="11777" width="11.109375" style="243" customWidth="1"/>
    <col min="11778" max="11778" width="13.44140625" style="243" customWidth="1"/>
    <col min="11779" max="11783" width="11.109375" style="243" customWidth="1"/>
    <col min="11784" max="11784" width="3.6640625" style="243" customWidth="1"/>
    <col min="11785" max="11787" width="10.6640625" style="243" customWidth="1"/>
    <col min="11788" max="12030" width="8.88671875" style="243"/>
    <col min="12031" max="12031" width="3.6640625" style="243" customWidth="1"/>
    <col min="12032" max="12033" width="11.109375" style="243" customWidth="1"/>
    <col min="12034" max="12034" width="13.44140625" style="243" customWidth="1"/>
    <col min="12035" max="12039" width="11.109375" style="243" customWidth="1"/>
    <col min="12040" max="12040" width="3.6640625" style="243" customWidth="1"/>
    <col min="12041" max="12043" width="10.6640625" style="243" customWidth="1"/>
    <col min="12044" max="12286" width="8.88671875" style="243"/>
    <col min="12287" max="12287" width="3.6640625" style="243" customWidth="1"/>
    <col min="12288" max="12289" width="11.109375" style="243" customWidth="1"/>
    <col min="12290" max="12290" width="13.44140625" style="243" customWidth="1"/>
    <col min="12291" max="12295" width="11.109375" style="243" customWidth="1"/>
    <col min="12296" max="12296" width="3.6640625" style="243" customWidth="1"/>
    <col min="12297" max="12299" width="10.6640625" style="243" customWidth="1"/>
    <col min="12300" max="12542" width="8.88671875" style="243"/>
    <col min="12543" max="12543" width="3.6640625" style="243" customWidth="1"/>
    <col min="12544" max="12545" width="11.109375" style="243" customWidth="1"/>
    <col min="12546" max="12546" width="13.44140625" style="243" customWidth="1"/>
    <col min="12547" max="12551" width="11.109375" style="243" customWidth="1"/>
    <col min="12552" max="12552" width="3.6640625" style="243" customWidth="1"/>
    <col min="12553" max="12555" width="10.6640625" style="243" customWidth="1"/>
    <col min="12556" max="12798" width="8.88671875" style="243"/>
    <col min="12799" max="12799" width="3.6640625" style="243" customWidth="1"/>
    <col min="12800" max="12801" width="11.109375" style="243" customWidth="1"/>
    <col min="12802" max="12802" width="13.44140625" style="243" customWidth="1"/>
    <col min="12803" max="12807" width="11.109375" style="243" customWidth="1"/>
    <col min="12808" max="12808" width="3.6640625" style="243" customWidth="1"/>
    <col min="12809" max="12811" width="10.6640625" style="243" customWidth="1"/>
    <col min="12812" max="13054" width="8.88671875" style="243"/>
    <col min="13055" max="13055" width="3.6640625" style="243" customWidth="1"/>
    <col min="13056" max="13057" width="11.109375" style="243" customWidth="1"/>
    <col min="13058" max="13058" width="13.44140625" style="243" customWidth="1"/>
    <col min="13059" max="13063" width="11.109375" style="243" customWidth="1"/>
    <col min="13064" max="13064" width="3.6640625" style="243" customWidth="1"/>
    <col min="13065" max="13067" width="10.6640625" style="243" customWidth="1"/>
    <col min="13068" max="13310" width="8.88671875" style="243"/>
    <col min="13311" max="13311" width="3.6640625" style="243" customWidth="1"/>
    <col min="13312" max="13313" width="11.109375" style="243" customWidth="1"/>
    <col min="13314" max="13314" width="13.44140625" style="243" customWidth="1"/>
    <col min="13315" max="13319" width="11.109375" style="243" customWidth="1"/>
    <col min="13320" max="13320" width="3.6640625" style="243" customWidth="1"/>
    <col min="13321" max="13323" width="10.6640625" style="243" customWidth="1"/>
    <col min="13324" max="13566" width="8.88671875" style="243"/>
    <col min="13567" max="13567" width="3.6640625" style="243" customWidth="1"/>
    <col min="13568" max="13569" width="11.109375" style="243" customWidth="1"/>
    <col min="13570" max="13570" width="13.44140625" style="243" customWidth="1"/>
    <col min="13571" max="13575" width="11.109375" style="243" customWidth="1"/>
    <col min="13576" max="13576" width="3.6640625" style="243" customWidth="1"/>
    <col min="13577" max="13579" width="10.6640625" style="243" customWidth="1"/>
    <col min="13580" max="13822" width="8.88671875" style="243"/>
    <col min="13823" max="13823" width="3.6640625" style="243" customWidth="1"/>
    <col min="13824" max="13825" width="11.109375" style="243" customWidth="1"/>
    <col min="13826" max="13826" width="13.44140625" style="243" customWidth="1"/>
    <col min="13827" max="13831" width="11.109375" style="243" customWidth="1"/>
    <col min="13832" max="13832" width="3.6640625" style="243" customWidth="1"/>
    <col min="13833" max="13835" width="10.6640625" style="243" customWidth="1"/>
    <col min="13836" max="14078" width="8.88671875" style="243"/>
    <col min="14079" max="14079" width="3.6640625" style="243" customWidth="1"/>
    <col min="14080" max="14081" width="11.109375" style="243" customWidth="1"/>
    <col min="14082" max="14082" width="13.44140625" style="243" customWidth="1"/>
    <col min="14083" max="14087" width="11.109375" style="243" customWidth="1"/>
    <col min="14088" max="14088" width="3.6640625" style="243" customWidth="1"/>
    <col min="14089" max="14091" width="10.6640625" style="243" customWidth="1"/>
    <col min="14092" max="14334" width="8.88671875" style="243"/>
    <col min="14335" max="14335" width="3.6640625" style="243" customWidth="1"/>
    <col min="14336" max="14337" width="11.109375" style="243" customWidth="1"/>
    <col min="14338" max="14338" width="13.44140625" style="243" customWidth="1"/>
    <col min="14339" max="14343" width="11.109375" style="243" customWidth="1"/>
    <col min="14344" max="14344" width="3.6640625" style="243" customWidth="1"/>
    <col min="14345" max="14347" width="10.6640625" style="243" customWidth="1"/>
    <col min="14348" max="14590" width="8.88671875" style="243"/>
    <col min="14591" max="14591" width="3.6640625" style="243" customWidth="1"/>
    <col min="14592" max="14593" width="11.109375" style="243" customWidth="1"/>
    <col min="14594" max="14594" width="13.44140625" style="243" customWidth="1"/>
    <col min="14595" max="14599" width="11.109375" style="243" customWidth="1"/>
    <col min="14600" max="14600" width="3.6640625" style="243" customWidth="1"/>
    <col min="14601" max="14603" width="10.6640625" style="243" customWidth="1"/>
    <col min="14604" max="14846" width="8.88671875" style="243"/>
    <col min="14847" max="14847" width="3.6640625" style="243" customWidth="1"/>
    <col min="14848" max="14849" width="11.109375" style="243" customWidth="1"/>
    <col min="14850" max="14850" width="13.44140625" style="243" customWidth="1"/>
    <col min="14851" max="14855" width="11.109375" style="243" customWidth="1"/>
    <col min="14856" max="14856" width="3.6640625" style="243" customWidth="1"/>
    <col min="14857" max="14859" width="10.6640625" style="243" customWidth="1"/>
    <col min="14860" max="15102" width="8.88671875" style="243"/>
    <col min="15103" max="15103" width="3.6640625" style="243" customWidth="1"/>
    <col min="15104" max="15105" width="11.109375" style="243" customWidth="1"/>
    <col min="15106" max="15106" width="13.44140625" style="243" customWidth="1"/>
    <col min="15107" max="15111" width="11.109375" style="243" customWidth="1"/>
    <col min="15112" max="15112" width="3.6640625" style="243" customWidth="1"/>
    <col min="15113" max="15115" width="10.6640625" style="243" customWidth="1"/>
    <col min="15116" max="15358" width="8.88671875" style="243"/>
    <col min="15359" max="15359" width="3.6640625" style="243" customWidth="1"/>
    <col min="15360" max="15361" width="11.109375" style="243" customWidth="1"/>
    <col min="15362" max="15362" width="13.44140625" style="243" customWidth="1"/>
    <col min="15363" max="15367" width="11.109375" style="243" customWidth="1"/>
    <col min="15368" max="15368" width="3.6640625" style="243" customWidth="1"/>
    <col min="15369" max="15371" width="10.6640625" style="243" customWidth="1"/>
    <col min="15372" max="15614" width="8.88671875" style="243"/>
    <col min="15615" max="15615" width="3.6640625" style="243" customWidth="1"/>
    <col min="15616" max="15617" width="11.109375" style="243" customWidth="1"/>
    <col min="15618" max="15618" width="13.44140625" style="243" customWidth="1"/>
    <col min="15619" max="15623" width="11.109375" style="243" customWidth="1"/>
    <col min="15624" max="15624" width="3.6640625" style="243" customWidth="1"/>
    <col min="15625" max="15627" width="10.6640625" style="243" customWidth="1"/>
    <col min="15628" max="15870" width="8.88671875" style="243"/>
    <col min="15871" max="15871" width="3.6640625" style="243" customWidth="1"/>
    <col min="15872" max="15873" width="11.109375" style="243" customWidth="1"/>
    <col min="15874" max="15874" width="13.44140625" style="243" customWidth="1"/>
    <col min="15875" max="15879" width="11.109375" style="243" customWidth="1"/>
    <col min="15880" max="15880" width="3.6640625" style="243" customWidth="1"/>
    <col min="15881" max="15883" width="10.6640625" style="243" customWidth="1"/>
    <col min="15884" max="16126" width="8.88671875" style="243"/>
    <col min="16127" max="16127" width="3.6640625" style="243" customWidth="1"/>
    <col min="16128" max="16129" width="11.109375" style="243" customWidth="1"/>
    <col min="16130" max="16130" width="13.44140625" style="243" customWidth="1"/>
    <col min="16131" max="16135" width="11.109375" style="243" customWidth="1"/>
    <col min="16136" max="16136" width="3.6640625" style="243" customWidth="1"/>
    <col min="16137" max="16139" width="10.6640625" style="243" customWidth="1"/>
    <col min="16140" max="16384" width="8.88671875" style="243"/>
  </cols>
  <sheetData>
    <row r="1" spans="1:18" ht="19.5" customHeight="1">
      <c r="A1" s="240" t="s">
        <v>7</v>
      </c>
      <c r="B1" s="241"/>
      <c r="C1" s="241"/>
      <c r="D1" s="241"/>
      <c r="E1" s="241"/>
      <c r="F1" s="241"/>
      <c r="G1" s="241"/>
      <c r="H1" s="241"/>
      <c r="I1" s="241"/>
      <c r="J1" s="242"/>
    </row>
    <row r="2" spans="1:18" ht="21">
      <c r="A2" s="245" t="s">
        <v>61</v>
      </c>
      <c r="B2" s="246"/>
      <c r="C2" s="246"/>
      <c r="D2" s="246"/>
      <c r="E2" s="246"/>
      <c r="F2" s="246"/>
      <c r="G2" s="246"/>
      <c r="H2" s="246"/>
      <c r="I2" s="246"/>
      <c r="J2" s="247"/>
    </row>
    <row r="3" spans="1:18" ht="15.6">
      <c r="A3" s="248" t="s">
        <v>62</v>
      </c>
      <c r="B3" s="249"/>
      <c r="C3" s="249"/>
      <c r="D3" s="249"/>
      <c r="E3" s="249"/>
      <c r="F3" s="249"/>
      <c r="G3" s="249"/>
      <c r="H3" s="249"/>
      <c r="I3" s="249"/>
      <c r="J3" s="250"/>
    </row>
    <row r="4" spans="1:18" ht="15.6">
      <c r="A4" s="248" t="s">
        <v>63</v>
      </c>
      <c r="B4" s="249"/>
      <c r="C4" s="249"/>
      <c r="D4" s="249"/>
      <c r="E4" s="249"/>
      <c r="F4" s="249"/>
      <c r="G4" s="249"/>
      <c r="H4" s="249"/>
      <c r="I4" s="249"/>
      <c r="J4" s="250"/>
    </row>
    <row r="5" spans="1:18">
      <c r="A5" s="251" t="s">
        <v>64</v>
      </c>
      <c r="B5" s="252"/>
      <c r="C5" s="252"/>
      <c r="D5" s="252"/>
      <c r="E5" s="252"/>
      <c r="F5" s="252"/>
      <c r="G5" s="252"/>
      <c r="H5" s="252"/>
      <c r="I5" s="252"/>
      <c r="J5" s="253"/>
    </row>
    <row r="6" spans="1:18" ht="21.6" customHeight="1">
      <c r="A6" s="254"/>
      <c r="B6" s="255" t="str">
        <f>Report!B6</f>
        <v>Ras Al Hekma International Airport</v>
      </c>
      <c r="C6" s="255"/>
      <c r="D6" s="255"/>
      <c r="E6" s="255"/>
      <c r="F6" s="256"/>
      <c r="G6" s="256"/>
      <c r="H6" s="331" t="str">
        <f>Report!O6</f>
        <v>File No.5143</v>
      </c>
      <c r="I6" s="331"/>
      <c r="J6" s="332"/>
    </row>
    <row r="7" spans="1:18" ht="20.100000000000001" customHeight="1">
      <c r="A7" s="258"/>
      <c r="B7" s="260" t="str">
        <f>Report!B7</f>
        <v>Project Spec :- Section 31 23 16.33 ( Excavation, Fill and Subgrade)</v>
      </c>
      <c r="C7" s="260"/>
      <c r="D7" s="260"/>
      <c r="E7" s="260"/>
      <c r="F7" s="260"/>
      <c r="G7" s="259"/>
      <c r="H7" s="256" t="str">
        <f>Proctor!I8</f>
        <v>Date: 06/09/2025</v>
      </c>
      <c r="I7" s="333"/>
      <c r="J7" s="334"/>
    </row>
    <row r="8" spans="1:18" ht="24" customHeight="1">
      <c r="A8" s="262" t="s">
        <v>65</v>
      </c>
      <c r="B8" s="263"/>
      <c r="C8" s="263"/>
      <c r="D8" s="263"/>
      <c r="E8" s="263"/>
      <c r="F8" s="263"/>
      <c r="G8" s="263"/>
      <c r="H8" s="263"/>
      <c r="I8" s="263"/>
      <c r="J8" s="264"/>
    </row>
    <row r="9" spans="1:18" ht="24" customHeight="1">
      <c r="A9" s="265" t="s">
        <v>66</v>
      </c>
      <c r="B9" s="266"/>
      <c r="C9" s="266"/>
      <c r="D9" s="266"/>
      <c r="E9" s="266"/>
      <c r="F9" s="266"/>
      <c r="G9" s="266"/>
      <c r="H9" s="266"/>
      <c r="I9" s="266"/>
      <c r="J9" s="267"/>
    </row>
    <row r="10" spans="1:18" ht="24" customHeight="1">
      <c r="A10" s="268" t="s">
        <v>67</v>
      </c>
      <c r="B10" s="269"/>
      <c r="C10" s="269"/>
      <c r="D10" s="269"/>
      <c r="E10" s="269"/>
      <c r="F10" s="269"/>
      <c r="G10" s="269"/>
      <c r="H10" s="269"/>
      <c r="I10" s="269"/>
      <c r="J10" s="270"/>
    </row>
    <row r="11" spans="1:18" ht="24" customHeight="1">
      <c r="A11" s="271"/>
      <c r="B11" s="272" t="s">
        <v>43</v>
      </c>
      <c r="C11" s="272"/>
      <c r="D11" s="352">
        <f>Report!F11</f>
        <v>45900</v>
      </c>
      <c r="E11" s="352"/>
      <c r="G11" s="351" t="s">
        <v>88</v>
      </c>
      <c r="H11" s="351"/>
      <c r="I11" s="352">
        <f>Report!F11+2</f>
        <v>45902</v>
      </c>
      <c r="J11" s="355"/>
      <c r="K11" s="346"/>
      <c r="L11" s="344"/>
      <c r="M11" s="344"/>
      <c r="N11" s="344"/>
      <c r="O11" s="344"/>
      <c r="P11" s="344"/>
      <c r="Q11" s="344"/>
      <c r="R11" s="344"/>
    </row>
    <row r="12" spans="1:18" s="276" customFormat="1" ht="24" customHeight="1">
      <c r="A12" s="273"/>
      <c r="B12" s="274" t="s">
        <v>44</v>
      </c>
      <c r="C12" s="274"/>
      <c r="D12" s="274" t="str">
        <f>Report!F12</f>
        <v>Saleh Swiker Soil 70% + Swiker Sand 30%</v>
      </c>
      <c r="E12" s="274"/>
      <c r="F12" s="274"/>
      <c r="G12" s="274"/>
      <c r="H12" s="353"/>
      <c r="I12" s="353"/>
      <c r="J12" s="275"/>
      <c r="K12" s="347"/>
      <c r="L12" s="343"/>
      <c r="M12" s="343"/>
      <c r="N12" s="343"/>
      <c r="O12" s="343"/>
      <c r="P12" s="343"/>
      <c r="Q12" s="343"/>
      <c r="R12" s="343"/>
    </row>
    <row r="13" spans="1:18" s="276" customFormat="1" ht="24" customHeight="1">
      <c r="A13" s="273"/>
      <c r="B13" s="272" t="s">
        <v>48</v>
      </c>
      <c r="C13" s="272"/>
      <c r="D13" s="272"/>
      <c r="E13" s="351" t="str">
        <f>Report!I13</f>
        <v>Fill / SM</v>
      </c>
      <c r="F13" s="351"/>
      <c r="G13" s="354"/>
      <c r="H13" s="354"/>
      <c r="I13" s="354"/>
      <c r="J13" s="275"/>
      <c r="K13" s="347"/>
      <c r="L13" s="343"/>
      <c r="M13" s="343"/>
      <c r="N13" s="343"/>
      <c r="O13" s="343"/>
      <c r="P13" s="343"/>
      <c r="Q13" s="343"/>
      <c r="R13" s="343"/>
    </row>
    <row r="14" spans="1:18" s="276" customFormat="1" ht="24" customHeight="1">
      <c r="A14" s="273"/>
      <c r="B14" s="277" t="s">
        <v>32</v>
      </c>
      <c r="C14" s="278">
        <f>Report!E14</f>
        <v>3</v>
      </c>
      <c r="D14" s="277"/>
      <c r="E14" s="277"/>
      <c r="F14" s="279"/>
      <c r="G14" s="279"/>
      <c r="H14" s="279"/>
      <c r="I14" s="279"/>
      <c r="J14" s="275"/>
      <c r="K14" s="347"/>
      <c r="L14" s="343"/>
      <c r="M14" s="343"/>
      <c r="N14" s="344"/>
      <c r="O14" s="343"/>
      <c r="P14" s="343"/>
      <c r="Q14" s="343"/>
      <c r="R14" s="343"/>
    </row>
    <row r="15" spans="1:18" s="276" customFormat="1" ht="24" customHeight="1">
      <c r="A15" s="273"/>
      <c r="B15" s="280" t="s">
        <v>33</v>
      </c>
      <c r="C15" s="278">
        <f>Report!E15</f>
        <v>50</v>
      </c>
      <c r="D15" s="277"/>
      <c r="E15" s="280"/>
      <c r="F15" s="279"/>
      <c r="G15" s="279"/>
      <c r="H15" s="279"/>
      <c r="I15" s="279"/>
      <c r="J15" s="275"/>
      <c r="K15" s="347"/>
      <c r="L15" s="343"/>
      <c r="M15" s="343"/>
      <c r="N15" s="343"/>
      <c r="O15" s="343"/>
      <c r="P15" s="343"/>
      <c r="Q15" s="343"/>
      <c r="R15" s="343"/>
    </row>
    <row r="16" spans="1:18" ht="6" customHeight="1">
      <c r="A16" s="281"/>
      <c r="B16" s="282"/>
      <c r="C16" s="282"/>
      <c r="D16" s="282"/>
      <c r="E16" s="282"/>
      <c r="F16" s="283"/>
      <c r="G16" s="283"/>
      <c r="H16" s="283"/>
      <c r="I16" s="283"/>
      <c r="J16" s="284"/>
    </row>
    <row r="17" spans="1:11" ht="21" customHeight="1">
      <c r="A17" s="281"/>
      <c r="G17" s="340" t="s">
        <v>68</v>
      </c>
      <c r="H17" s="340" t="s">
        <v>69</v>
      </c>
      <c r="I17" s="340" t="s">
        <v>70</v>
      </c>
      <c r="J17" s="287"/>
    </row>
    <row r="18" spans="1:11" ht="21" customHeight="1">
      <c r="A18" s="281"/>
      <c r="G18" s="341" t="s">
        <v>71</v>
      </c>
      <c r="H18" s="341" t="s">
        <v>72</v>
      </c>
      <c r="I18" s="341" t="s">
        <v>73</v>
      </c>
      <c r="J18" s="289"/>
    </row>
    <row r="19" spans="1:11" ht="21" customHeight="1">
      <c r="A19" s="281"/>
      <c r="G19" s="296">
        <v>0</v>
      </c>
      <c r="H19" s="296">
        <v>0</v>
      </c>
      <c r="I19" s="342">
        <v>0</v>
      </c>
      <c r="J19" s="289"/>
      <c r="K19" s="335">
        <v>0</v>
      </c>
    </row>
    <row r="20" spans="1:11" ht="21" customHeight="1">
      <c r="A20" s="281"/>
      <c r="G20" s="295">
        <v>2.5000000000000001E-2</v>
      </c>
      <c r="H20" s="296">
        <f>405.05*K20/10000</f>
        <v>1.1746450000000002</v>
      </c>
      <c r="I20" s="297">
        <f>((H20*223.21)/3)</f>
        <v>87.397503483333352</v>
      </c>
      <c r="J20" s="298"/>
      <c r="K20" s="336">
        <v>29</v>
      </c>
    </row>
    <row r="21" spans="1:11" ht="21" customHeight="1">
      <c r="A21" s="281"/>
      <c r="G21" s="296">
        <v>0.05</v>
      </c>
      <c r="H21" s="296">
        <f t="shared" ref="H21:H29" si="0">405.05*K21/10000</f>
        <v>2.1062600000000002</v>
      </c>
      <c r="I21" s="297">
        <f t="shared" ref="I21:I26" si="1">((H21*223.21)/3)</f>
        <v>156.71276486666667</v>
      </c>
      <c r="J21" s="298"/>
      <c r="K21" s="336">
        <v>52</v>
      </c>
    </row>
    <row r="22" spans="1:11" ht="21" customHeight="1">
      <c r="A22" s="281"/>
      <c r="G22" s="296">
        <v>7.4999999999999997E-2</v>
      </c>
      <c r="H22" s="296">
        <f t="shared" si="0"/>
        <v>2.9973700000000001</v>
      </c>
      <c r="I22" s="297">
        <f t="shared" si="1"/>
        <v>223.01431923333334</v>
      </c>
      <c r="J22" s="298"/>
      <c r="K22" s="336">
        <v>74</v>
      </c>
    </row>
    <row r="23" spans="1:11" ht="21" customHeight="1">
      <c r="A23" s="281"/>
      <c r="G23" s="296">
        <v>0.1</v>
      </c>
      <c r="H23" s="296">
        <f t="shared" si="0"/>
        <v>4.2530250000000001</v>
      </c>
      <c r="I23" s="297">
        <f t="shared" si="1"/>
        <v>316.43923675000002</v>
      </c>
      <c r="J23" s="298"/>
      <c r="K23" s="336">
        <v>105</v>
      </c>
    </row>
    <row r="24" spans="1:11" ht="21" customHeight="1">
      <c r="A24" s="281"/>
      <c r="G24" s="296">
        <v>0.125</v>
      </c>
      <c r="H24" s="296">
        <f t="shared" si="0"/>
        <v>5.1846399999999999</v>
      </c>
      <c r="I24" s="297">
        <f t="shared" si="1"/>
        <v>385.75449813333336</v>
      </c>
      <c r="J24" s="298"/>
      <c r="K24" s="336">
        <v>128</v>
      </c>
    </row>
    <row r="25" spans="1:11" ht="21" customHeight="1">
      <c r="A25" s="281"/>
      <c r="G25" s="296">
        <v>0.15</v>
      </c>
      <c r="H25" s="296">
        <f t="shared" si="0"/>
        <v>6.1567600000000002</v>
      </c>
      <c r="I25" s="297">
        <f t="shared" si="1"/>
        <v>458.08346653333336</v>
      </c>
      <c r="J25" s="298"/>
      <c r="K25" s="336">
        <v>152</v>
      </c>
    </row>
    <row r="26" spans="1:11" ht="21" customHeight="1">
      <c r="A26" s="281"/>
      <c r="G26" s="296">
        <v>0.17499999999999999</v>
      </c>
      <c r="H26" s="296">
        <f t="shared" si="0"/>
        <v>7.4529199999999998</v>
      </c>
      <c r="I26" s="297">
        <f t="shared" si="1"/>
        <v>554.52209106666669</v>
      </c>
      <c r="J26" s="298"/>
      <c r="K26" s="336">
        <v>184</v>
      </c>
    </row>
    <row r="27" spans="1:11" ht="21" customHeight="1">
      <c r="A27" s="281"/>
      <c r="G27" s="296">
        <v>0.2</v>
      </c>
      <c r="H27" s="296">
        <f t="shared" si="0"/>
        <v>8.18201</v>
      </c>
      <c r="I27" s="297">
        <f>((H27*223.21)/3)</f>
        <v>608.76881736666667</v>
      </c>
      <c r="J27" s="298"/>
      <c r="K27" s="336">
        <v>202</v>
      </c>
    </row>
    <row r="28" spans="1:11" ht="21" customHeight="1">
      <c r="A28" s="281"/>
      <c r="G28" s="296">
        <v>0.3</v>
      </c>
      <c r="H28" s="296">
        <f t="shared" si="0"/>
        <v>8.587060000000001</v>
      </c>
      <c r="I28" s="297">
        <f t="shared" ref="I28:I29" si="2">((H28*223.21)/3)</f>
        <v>638.90588753333338</v>
      </c>
      <c r="J28" s="298"/>
      <c r="K28" s="336">
        <v>212</v>
      </c>
    </row>
    <row r="29" spans="1:11" ht="21" customHeight="1">
      <c r="A29" s="281"/>
      <c r="G29" s="296">
        <v>0.4</v>
      </c>
      <c r="H29" s="296">
        <f t="shared" si="0"/>
        <v>8.7490800000000011</v>
      </c>
      <c r="I29" s="297">
        <f t="shared" si="2"/>
        <v>650.96071560000007</v>
      </c>
      <c r="J29" s="298"/>
      <c r="K29" s="336">
        <v>216</v>
      </c>
    </row>
    <row r="30" spans="1:11" ht="21" customHeight="1">
      <c r="A30" s="281"/>
      <c r="I30" s="243" t="s">
        <v>74</v>
      </c>
      <c r="J30" s="284"/>
    </row>
    <row r="31" spans="1:11" ht="25.5" customHeight="1">
      <c r="A31" s="301"/>
      <c r="B31" s="302" t="s">
        <v>84</v>
      </c>
      <c r="C31" s="302"/>
      <c r="D31" s="302"/>
      <c r="E31" s="302"/>
      <c r="F31" s="302"/>
      <c r="G31" s="302"/>
      <c r="H31" s="302"/>
      <c r="I31" s="302"/>
      <c r="J31" s="303"/>
    </row>
    <row r="32" spans="1:11" ht="11.25" customHeight="1">
      <c r="A32" s="300"/>
      <c r="B32" s="304"/>
      <c r="C32" s="305"/>
      <c r="D32" s="306"/>
      <c r="E32" s="306"/>
      <c r="F32" s="306"/>
      <c r="G32" s="307"/>
      <c r="H32" s="283"/>
      <c r="J32" s="284"/>
    </row>
    <row r="33" spans="1:15" ht="22.5" customHeight="1">
      <c r="A33" s="300" t="s">
        <v>75</v>
      </c>
      <c r="B33" s="308" t="s">
        <v>77</v>
      </c>
      <c r="C33" s="308"/>
      <c r="D33" s="308"/>
      <c r="E33" s="309">
        <f>I23*100/1000</f>
        <v>31.643923675000003</v>
      </c>
      <c r="F33" s="308" t="s">
        <v>78</v>
      </c>
      <c r="G33" s="308"/>
      <c r="H33" s="308"/>
      <c r="I33" s="309">
        <f>I27*100/1500</f>
        <v>40.584587824444448</v>
      </c>
      <c r="J33" s="284"/>
    </row>
    <row r="34" spans="1:15" ht="22.5" customHeight="1">
      <c r="A34" s="300"/>
      <c r="B34" s="308" t="s">
        <v>79</v>
      </c>
      <c r="C34" s="308"/>
      <c r="D34" s="308"/>
      <c r="E34" s="309">
        <f>I33</f>
        <v>40.584587824444448</v>
      </c>
      <c r="F34" s="310" t="s">
        <v>80</v>
      </c>
      <c r="G34" s="311"/>
      <c r="H34" s="312"/>
      <c r="I34" s="313"/>
      <c r="J34" s="284"/>
    </row>
    <row r="35" spans="1:15" ht="22.5" customHeight="1">
      <c r="A35" s="300"/>
      <c r="B35" s="308" t="s">
        <v>81</v>
      </c>
      <c r="C35" s="308"/>
      <c r="D35" s="308"/>
      <c r="E35" s="295">
        <v>0</v>
      </c>
      <c r="F35" s="310" t="s">
        <v>82</v>
      </c>
      <c r="G35" s="311"/>
      <c r="H35" s="312"/>
      <c r="I35" s="314">
        <v>1.996</v>
      </c>
      <c r="J35" s="284"/>
      <c r="M35" s="315"/>
      <c r="N35" s="315"/>
      <c r="O35" s="339"/>
    </row>
    <row r="36" spans="1:15" ht="10.5" customHeight="1">
      <c r="A36" s="281"/>
      <c r="B36" s="316"/>
      <c r="C36" s="316"/>
      <c r="D36" s="316"/>
      <c r="E36" s="316"/>
      <c r="F36" s="316"/>
      <c r="H36" s="317"/>
      <c r="J36" s="284"/>
      <c r="M36" s="318"/>
      <c r="N36" s="318"/>
      <c r="O36" s="315"/>
    </row>
    <row r="37" spans="1:15" ht="8.25" customHeight="1">
      <c r="A37" s="319"/>
      <c r="B37" s="320"/>
      <c r="C37" s="321"/>
      <c r="D37" s="322"/>
      <c r="E37" s="322"/>
      <c r="F37" s="322"/>
      <c r="G37" s="322"/>
      <c r="H37" s="322"/>
      <c r="I37" s="322"/>
      <c r="J37" s="284"/>
      <c r="M37" s="318"/>
      <c r="N37" s="318"/>
      <c r="O37" s="339"/>
    </row>
    <row r="38" spans="1:15" ht="10.5" customHeight="1">
      <c r="A38" s="301"/>
      <c r="B38" s="323"/>
      <c r="C38" s="324"/>
      <c r="D38" s="324"/>
      <c r="E38" s="324"/>
      <c r="F38" s="324"/>
      <c r="G38" s="324"/>
      <c r="H38" s="324"/>
      <c r="I38" s="324"/>
      <c r="J38" s="325"/>
    </row>
    <row r="39" spans="1:15" ht="15" customHeight="1">
      <c r="A39" s="281"/>
      <c r="B39" s="326" t="str">
        <f>[1]Report!B40</f>
        <v>Prepared by : Eng. Alaa Hassan</v>
      </c>
      <c r="J39" s="284"/>
    </row>
    <row r="40" spans="1:15" ht="15" customHeight="1">
      <c r="A40" s="281"/>
      <c r="J40" s="284"/>
    </row>
    <row r="41" spans="1:15" ht="15" customHeight="1" thickBot="1">
      <c r="A41" s="327"/>
      <c r="B41" s="328"/>
      <c r="C41" s="328"/>
      <c r="D41" s="328"/>
      <c r="E41" s="328"/>
      <c r="F41" s="328"/>
      <c r="G41" s="328"/>
      <c r="H41" s="328"/>
      <c r="I41" s="329" t="s">
        <v>85</v>
      </c>
      <c r="J41" s="330"/>
    </row>
  </sheetData>
  <mergeCells count="27">
    <mergeCell ref="N36:N37"/>
    <mergeCell ref="B7:F7"/>
    <mergeCell ref="B11:C11"/>
    <mergeCell ref="D11:E11"/>
    <mergeCell ref="G11:H11"/>
    <mergeCell ref="I11:J11"/>
    <mergeCell ref="B12:C12"/>
    <mergeCell ref="D12:G12"/>
    <mergeCell ref="B13:D13"/>
    <mergeCell ref="E13:F13"/>
    <mergeCell ref="B35:D35"/>
    <mergeCell ref="F35:H35"/>
    <mergeCell ref="M36:M37"/>
    <mergeCell ref="B31:I31"/>
    <mergeCell ref="B33:D33"/>
    <mergeCell ref="F33:H33"/>
    <mergeCell ref="B34:D34"/>
    <mergeCell ref="F34:H34"/>
    <mergeCell ref="A8:J8"/>
    <mergeCell ref="A9:J9"/>
    <mergeCell ref="A10:I10"/>
    <mergeCell ref="A1:J1"/>
    <mergeCell ref="A2:J2"/>
    <mergeCell ref="A3:J3"/>
    <mergeCell ref="A4:J4"/>
    <mergeCell ref="A5:J5"/>
    <mergeCell ref="B6:E6"/>
  </mergeCells>
  <printOptions horizontalCentered="1" verticalCentered="1"/>
  <pageMargins left="0" right="0" top="0" bottom="0" header="0" footer="0"/>
  <pageSetup paperSize="9" scale="98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98819-3FD1-4D65-AC9C-E76498774D7E}">
  <dimension ref="A1:W43"/>
  <sheetViews>
    <sheetView showGridLines="0" view="pageBreakPreview" topLeftCell="A21" zoomScaleNormal="100" zoomScaleSheetLayoutView="100" workbookViewId="0">
      <selection activeCell="I35" sqref="I35"/>
    </sheetView>
  </sheetViews>
  <sheetFormatPr defaultRowHeight="13.2"/>
  <cols>
    <col min="1" max="1" width="3.6640625" style="243" customWidth="1"/>
    <col min="2" max="2" width="12.44140625" style="243" customWidth="1"/>
    <col min="3" max="3" width="11.109375" style="243" customWidth="1"/>
    <col min="4" max="4" width="13.44140625" style="243" customWidth="1"/>
    <col min="5" max="9" width="11.109375" style="243" customWidth="1"/>
    <col min="10" max="10" width="3.6640625" style="243" customWidth="1"/>
    <col min="11" max="11" width="10.6640625" style="243" customWidth="1"/>
    <col min="12" max="253" width="8.88671875" style="243"/>
    <col min="254" max="254" width="3.6640625" style="243" customWidth="1"/>
    <col min="255" max="256" width="11.109375" style="243" customWidth="1"/>
    <col min="257" max="257" width="13.44140625" style="243" customWidth="1"/>
    <col min="258" max="262" width="11.109375" style="243" customWidth="1"/>
    <col min="263" max="263" width="3.6640625" style="243" customWidth="1"/>
    <col min="264" max="266" width="10.6640625" style="243" customWidth="1"/>
    <col min="267" max="509" width="8.88671875" style="243"/>
    <col min="510" max="510" width="3.6640625" style="243" customWidth="1"/>
    <col min="511" max="512" width="11.109375" style="243" customWidth="1"/>
    <col min="513" max="513" width="13.44140625" style="243" customWidth="1"/>
    <col min="514" max="518" width="11.109375" style="243" customWidth="1"/>
    <col min="519" max="519" width="3.6640625" style="243" customWidth="1"/>
    <col min="520" max="522" width="10.6640625" style="243" customWidth="1"/>
    <col min="523" max="765" width="8.88671875" style="243"/>
    <col min="766" max="766" width="3.6640625" style="243" customWidth="1"/>
    <col min="767" max="768" width="11.109375" style="243" customWidth="1"/>
    <col min="769" max="769" width="13.44140625" style="243" customWidth="1"/>
    <col min="770" max="774" width="11.109375" style="243" customWidth="1"/>
    <col min="775" max="775" width="3.6640625" style="243" customWidth="1"/>
    <col min="776" max="778" width="10.6640625" style="243" customWidth="1"/>
    <col min="779" max="1021" width="8.88671875" style="243"/>
    <col min="1022" max="1022" width="3.6640625" style="243" customWidth="1"/>
    <col min="1023" max="1024" width="11.109375" style="243" customWidth="1"/>
    <col min="1025" max="1025" width="13.44140625" style="243" customWidth="1"/>
    <col min="1026" max="1030" width="11.109375" style="243" customWidth="1"/>
    <col min="1031" max="1031" width="3.6640625" style="243" customWidth="1"/>
    <col min="1032" max="1034" width="10.6640625" style="243" customWidth="1"/>
    <col min="1035" max="1277" width="8.88671875" style="243"/>
    <col min="1278" max="1278" width="3.6640625" style="243" customWidth="1"/>
    <col min="1279" max="1280" width="11.109375" style="243" customWidth="1"/>
    <col min="1281" max="1281" width="13.44140625" style="243" customWidth="1"/>
    <col min="1282" max="1286" width="11.109375" style="243" customWidth="1"/>
    <col min="1287" max="1287" width="3.6640625" style="243" customWidth="1"/>
    <col min="1288" max="1290" width="10.6640625" style="243" customWidth="1"/>
    <col min="1291" max="1533" width="8.88671875" style="243"/>
    <col min="1534" max="1534" width="3.6640625" style="243" customWidth="1"/>
    <col min="1535" max="1536" width="11.109375" style="243" customWidth="1"/>
    <col min="1537" max="1537" width="13.44140625" style="243" customWidth="1"/>
    <col min="1538" max="1542" width="11.109375" style="243" customWidth="1"/>
    <col min="1543" max="1543" width="3.6640625" style="243" customWidth="1"/>
    <col min="1544" max="1546" width="10.6640625" style="243" customWidth="1"/>
    <col min="1547" max="1789" width="8.88671875" style="243"/>
    <col min="1790" max="1790" width="3.6640625" style="243" customWidth="1"/>
    <col min="1791" max="1792" width="11.109375" style="243" customWidth="1"/>
    <col min="1793" max="1793" width="13.44140625" style="243" customWidth="1"/>
    <col min="1794" max="1798" width="11.109375" style="243" customWidth="1"/>
    <col min="1799" max="1799" width="3.6640625" style="243" customWidth="1"/>
    <col min="1800" max="1802" width="10.6640625" style="243" customWidth="1"/>
    <col min="1803" max="2045" width="8.88671875" style="243"/>
    <col min="2046" max="2046" width="3.6640625" style="243" customWidth="1"/>
    <col min="2047" max="2048" width="11.109375" style="243" customWidth="1"/>
    <col min="2049" max="2049" width="13.44140625" style="243" customWidth="1"/>
    <col min="2050" max="2054" width="11.109375" style="243" customWidth="1"/>
    <col min="2055" max="2055" width="3.6640625" style="243" customWidth="1"/>
    <col min="2056" max="2058" width="10.6640625" style="243" customWidth="1"/>
    <col min="2059" max="2301" width="8.88671875" style="243"/>
    <col min="2302" max="2302" width="3.6640625" style="243" customWidth="1"/>
    <col min="2303" max="2304" width="11.109375" style="243" customWidth="1"/>
    <col min="2305" max="2305" width="13.44140625" style="243" customWidth="1"/>
    <col min="2306" max="2310" width="11.109375" style="243" customWidth="1"/>
    <col min="2311" max="2311" width="3.6640625" style="243" customWidth="1"/>
    <col min="2312" max="2314" width="10.6640625" style="243" customWidth="1"/>
    <col min="2315" max="2557" width="8.88671875" style="243"/>
    <col min="2558" max="2558" width="3.6640625" style="243" customWidth="1"/>
    <col min="2559" max="2560" width="11.109375" style="243" customWidth="1"/>
    <col min="2561" max="2561" width="13.44140625" style="243" customWidth="1"/>
    <col min="2562" max="2566" width="11.109375" style="243" customWidth="1"/>
    <col min="2567" max="2567" width="3.6640625" style="243" customWidth="1"/>
    <col min="2568" max="2570" width="10.6640625" style="243" customWidth="1"/>
    <col min="2571" max="2813" width="8.88671875" style="243"/>
    <col min="2814" max="2814" width="3.6640625" style="243" customWidth="1"/>
    <col min="2815" max="2816" width="11.109375" style="243" customWidth="1"/>
    <col min="2817" max="2817" width="13.44140625" style="243" customWidth="1"/>
    <col min="2818" max="2822" width="11.109375" style="243" customWidth="1"/>
    <col min="2823" max="2823" width="3.6640625" style="243" customWidth="1"/>
    <col min="2824" max="2826" width="10.6640625" style="243" customWidth="1"/>
    <col min="2827" max="3069" width="8.88671875" style="243"/>
    <col min="3070" max="3070" width="3.6640625" style="243" customWidth="1"/>
    <col min="3071" max="3072" width="11.109375" style="243" customWidth="1"/>
    <col min="3073" max="3073" width="13.44140625" style="243" customWidth="1"/>
    <col min="3074" max="3078" width="11.109375" style="243" customWidth="1"/>
    <col min="3079" max="3079" width="3.6640625" style="243" customWidth="1"/>
    <col min="3080" max="3082" width="10.6640625" style="243" customWidth="1"/>
    <col min="3083" max="3325" width="8.88671875" style="243"/>
    <col min="3326" max="3326" width="3.6640625" style="243" customWidth="1"/>
    <col min="3327" max="3328" width="11.109375" style="243" customWidth="1"/>
    <col min="3329" max="3329" width="13.44140625" style="243" customWidth="1"/>
    <col min="3330" max="3334" width="11.109375" style="243" customWidth="1"/>
    <col min="3335" max="3335" width="3.6640625" style="243" customWidth="1"/>
    <col min="3336" max="3338" width="10.6640625" style="243" customWidth="1"/>
    <col min="3339" max="3581" width="8.88671875" style="243"/>
    <col min="3582" max="3582" width="3.6640625" style="243" customWidth="1"/>
    <col min="3583" max="3584" width="11.109375" style="243" customWidth="1"/>
    <col min="3585" max="3585" width="13.44140625" style="243" customWidth="1"/>
    <col min="3586" max="3590" width="11.109375" style="243" customWidth="1"/>
    <col min="3591" max="3591" width="3.6640625" style="243" customWidth="1"/>
    <col min="3592" max="3594" width="10.6640625" style="243" customWidth="1"/>
    <col min="3595" max="3837" width="8.88671875" style="243"/>
    <col min="3838" max="3838" width="3.6640625" style="243" customWidth="1"/>
    <col min="3839" max="3840" width="11.109375" style="243" customWidth="1"/>
    <col min="3841" max="3841" width="13.44140625" style="243" customWidth="1"/>
    <col min="3842" max="3846" width="11.109375" style="243" customWidth="1"/>
    <col min="3847" max="3847" width="3.6640625" style="243" customWidth="1"/>
    <col min="3848" max="3850" width="10.6640625" style="243" customWidth="1"/>
    <col min="3851" max="4093" width="8.88671875" style="243"/>
    <col min="4094" max="4094" width="3.6640625" style="243" customWidth="1"/>
    <col min="4095" max="4096" width="11.109375" style="243" customWidth="1"/>
    <col min="4097" max="4097" width="13.44140625" style="243" customWidth="1"/>
    <col min="4098" max="4102" width="11.109375" style="243" customWidth="1"/>
    <col min="4103" max="4103" width="3.6640625" style="243" customWidth="1"/>
    <col min="4104" max="4106" width="10.6640625" style="243" customWidth="1"/>
    <col min="4107" max="4349" width="8.88671875" style="243"/>
    <col min="4350" max="4350" width="3.6640625" style="243" customWidth="1"/>
    <col min="4351" max="4352" width="11.109375" style="243" customWidth="1"/>
    <col min="4353" max="4353" width="13.44140625" style="243" customWidth="1"/>
    <col min="4354" max="4358" width="11.109375" style="243" customWidth="1"/>
    <col min="4359" max="4359" width="3.6640625" style="243" customWidth="1"/>
    <col min="4360" max="4362" width="10.6640625" style="243" customWidth="1"/>
    <col min="4363" max="4605" width="8.88671875" style="243"/>
    <col min="4606" max="4606" width="3.6640625" style="243" customWidth="1"/>
    <col min="4607" max="4608" width="11.109375" style="243" customWidth="1"/>
    <col min="4609" max="4609" width="13.44140625" style="243" customWidth="1"/>
    <col min="4610" max="4614" width="11.109375" style="243" customWidth="1"/>
    <col min="4615" max="4615" width="3.6640625" style="243" customWidth="1"/>
    <col min="4616" max="4618" width="10.6640625" style="243" customWidth="1"/>
    <col min="4619" max="4861" width="8.88671875" style="243"/>
    <col min="4862" max="4862" width="3.6640625" style="243" customWidth="1"/>
    <col min="4863" max="4864" width="11.109375" style="243" customWidth="1"/>
    <col min="4865" max="4865" width="13.44140625" style="243" customWidth="1"/>
    <col min="4866" max="4870" width="11.109375" style="243" customWidth="1"/>
    <col min="4871" max="4871" width="3.6640625" style="243" customWidth="1"/>
    <col min="4872" max="4874" width="10.6640625" style="243" customWidth="1"/>
    <col min="4875" max="5117" width="8.88671875" style="243"/>
    <col min="5118" max="5118" width="3.6640625" style="243" customWidth="1"/>
    <col min="5119" max="5120" width="11.109375" style="243" customWidth="1"/>
    <col min="5121" max="5121" width="13.44140625" style="243" customWidth="1"/>
    <col min="5122" max="5126" width="11.109375" style="243" customWidth="1"/>
    <col min="5127" max="5127" width="3.6640625" style="243" customWidth="1"/>
    <col min="5128" max="5130" width="10.6640625" style="243" customWidth="1"/>
    <col min="5131" max="5373" width="8.88671875" style="243"/>
    <col min="5374" max="5374" width="3.6640625" style="243" customWidth="1"/>
    <col min="5375" max="5376" width="11.109375" style="243" customWidth="1"/>
    <col min="5377" max="5377" width="13.44140625" style="243" customWidth="1"/>
    <col min="5378" max="5382" width="11.109375" style="243" customWidth="1"/>
    <col min="5383" max="5383" width="3.6640625" style="243" customWidth="1"/>
    <col min="5384" max="5386" width="10.6640625" style="243" customWidth="1"/>
    <col min="5387" max="5629" width="8.88671875" style="243"/>
    <col min="5630" max="5630" width="3.6640625" style="243" customWidth="1"/>
    <col min="5631" max="5632" width="11.109375" style="243" customWidth="1"/>
    <col min="5633" max="5633" width="13.44140625" style="243" customWidth="1"/>
    <col min="5634" max="5638" width="11.109375" style="243" customWidth="1"/>
    <col min="5639" max="5639" width="3.6640625" style="243" customWidth="1"/>
    <col min="5640" max="5642" width="10.6640625" style="243" customWidth="1"/>
    <col min="5643" max="5885" width="8.88671875" style="243"/>
    <col min="5886" max="5886" width="3.6640625" style="243" customWidth="1"/>
    <col min="5887" max="5888" width="11.109375" style="243" customWidth="1"/>
    <col min="5889" max="5889" width="13.44140625" style="243" customWidth="1"/>
    <col min="5890" max="5894" width="11.109375" style="243" customWidth="1"/>
    <col min="5895" max="5895" width="3.6640625" style="243" customWidth="1"/>
    <col min="5896" max="5898" width="10.6640625" style="243" customWidth="1"/>
    <col min="5899" max="6141" width="8.88671875" style="243"/>
    <col min="6142" max="6142" width="3.6640625" style="243" customWidth="1"/>
    <col min="6143" max="6144" width="11.109375" style="243" customWidth="1"/>
    <col min="6145" max="6145" width="13.44140625" style="243" customWidth="1"/>
    <col min="6146" max="6150" width="11.109375" style="243" customWidth="1"/>
    <col min="6151" max="6151" width="3.6640625" style="243" customWidth="1"/>
    <col min="6152" max="6154" width="10.6640625" style="243" customWidth="1"/>
    <col min="6155" max="6397" width="8.88671875" style="243"/>
    <col min="6398" max="6398" width="3.6640625" style="243" customWidth="1"/>
    <col min="6399" max="6400" width="11.109375" style="243" customWidth="1"/>
    <col min="6401" max="6401" width="13.44140625" style="243" customWidth="1"/>
    <col min="6402" max="6406" width="11.109375" style="243" customWidth="1"/>
    <col min="6407" max="6407" width="3.6640625" style="243" customWidth="1"/>
    <col min="6408" max="6410" width="10.6640625" style="243" customWidth="1"/>
    <col min="6411" max="6653" width="8.88671875" style="243"/>
    <col min="6654" max="6654" width="3.6640625" style="243" customWidth="1"/>
    <col min="6655" max="6656" width="11.109375" style="243" customWidth="1"/>
    <col min="6657" max="6657" width="13.44140625" style="243" customWidth="1"/>
    <col min="6658" max="6662" width="11.109375" style="243" customWidth="1"/>
    <col min="6663" max="6663" width="3.6640625" style="243" customWidth="1"/>
    <col min="6664" max="6666" width="10.6640625" style="243" customWidth="1"/>
    <col min="6667" max="6909" width="8.88671875" style="243"/>
    <col min="6910" max="6910" width="3.6640625" style="243" customWidth="1"/>
    <col min="6911" max="6912" width="11.109375" style="243" customWidth="1"/>
    <col min="6913" max="6913" width="13.44140625" style="243" customWidth="1"/>
    <col min="6914" max="6918" width="11.109375" style="243" customWidth="1"/>
    <col min="6919" max="6919" width="3.6640625" style="243" customWidth="1"/>
    <col min="6920" max="6922" width="10.6640625" style="243" customWidth="1"/>
    <col min="6923" max="7165" width="8.88671875" style="243"/>
    <col min="7166" max="7166" width="3.6640625" style="243" customWidth="1"/>
    <col min="7167" max="7168" width="11.109375" style="243" customWidth="1"/>
    <col min="7169" max="7169" width="13.44140625" style="243" customWidth="1"/>
    <col min="7170" max="7174" width="11.109375" style="243" customWidth="1"/>
    <col min="7175" max="7175" width="3.6640625" style="243" customWidth="1"/>
    <col min="7176" max="7178" width="10.6640625" style="243" customWidth="1"/>
    <col min="7179" max="7421" width="8.88671875" style="243"/>
    <col min="7422" max="7422" width="3.6640625" style="243" customWidth="1"/>
    <col min="7423" max="7424" width="11.109375" style="243" customWidth="1"/>
    <col min="7425" max="7425" width="13.44140625" style="243" customWidth="1"/>
    <col min="7426" max="7430" width="11.109375" style="243" customWidth="1"/>
    <col min="7431" max="7431" width="3.6640625" style="243" customWidth="1"/>
    <col min="7432" max="7434" width="10.6640625" style="243" customWidth="1"/>
    <col min="7435" max="7677" width="8.88671875" style="243"/>
    <col min="7678" max="7678" width="3.6640625" style="243" customWidth="1"/>
    <col min="7679" max="7680" width="11.109375" style="243" customWidth="1"/>
    <col min="7681" max="7681" width="13.44140625" style="243" customWidth="1"/>
    <col min="7682" max="7686" width="11.109375" style="243" customWidth="1"/>
    <col min="7687" max="7687" width="3.6640625" style="243" customWidth="1"/>
    <col min="7688" max="7690" width="10.6640625" style="243" customWidth="1"/>
    <col min="7691" max="7933" width="8.88671875" style="243"/>
    <col min="7934" max="7934" width="3.6640625" style="243" customWidth="1"/>
    <col min="7935" max="7936" width="11.109375" style="243" customWidth="1"/>
    <col min="7937" max="7937" width="13.44140625" style="243" customWidth="1"/>
    <col min="7938" max="7942" width="11.109375" style="243" customWidth="1"/>
    <col min="7943" max="7943" width="3.6640625" style="243" customWidth="1"/>
    <col min="7944" max="7946" width="10.6640625" style="243" customWidth="1"/>
    <col min="7947" max="8189" width="8.88671875" style="243"/>
    <col min="8190" max="8190" width="3.6640625" style="243" customWidth="1"/>
    <col min="8191" max="8192" width="11.109375" style="243" customWidth="1"/>
    <col min="8193" max="8193" width="13.44140625" style="243" customWidth="1"/>
    <col min="8194" max="8198" width="11.109375" style="243" customWidth="1"/>
    <col min="8199" max="8199" width="3.6640625" style="243" customWidth="1"/>
    <col min="8200" max="8202" width="10.6640625" style="243" customWidth="1"/>
    <col min="8203" max="8445" width="8.88671875" style="243"/>
    <col min="8446" max="8446" width="3.6640625" style="243" customWidth="1"/>
    <col min="8447" max="8448" width="11.109375" style="243" customWidth="1"/>
    <col min="8449" max="8449" width="13.44140625" style="243" customWidth="1"/>
    <col min="8450" max="8454" width="11.109375" style="243" customWidth="1"/>
    <col min="8455" max="8455" width="3.6640625" style="243" customWidth="1"/>
    <col min="8456" max="8458" width="10.6640625" style="243" customWidth="1"/>
    <col min="8459" max="8701" width="8.88671875" style="243"/>
    <col min="8702" max="8702" width="3.6640625" style="243" customWidth="1"/>
    <col min="8703" max="8704" width="11.109375" style="243" customWidth="1"/>
    <col min="8705" max="8705" width="13.44140625" style="243" customWidth="1"/>
    <col min="8706" max="8710" width="11.109375" style="243" customWidth="1"/>
    <col min="8711" max="8711" width="3.6640625" style="243" customWidth="1"/>
    <col min="8712" max="8714" width="10.6640625" style="243" customWidth="1"/>
    <col min="8715" max="8957" width="8.88671875" style="243"/>
    <col min="8958" max="8958" width="3.6640625" style="243" customWidth="1"/>
    <col min="8959" max="8960" width="11.109375" style="243" customWidth="1"/>
    <col min="8961" max="8961" width="13.44140625" style="243" customWidth="1"/>
    <col min="8962" max="8966" width="11.109375" style="243" customWidth="1"/>
    <col min="8967" max="8967" width="3.6640625" style="243" customWidth="1"/>
    <col min="8968" max="8970" width="10.6640625" style="243" customWidth="1"/>
    <col min="8971" max="9213" width="8.88671875" style="243"/>
    <col min="9214" max="9214" width="3.6640625" style="243" customWidth="1"/>
    <col min="9215" max="9216" width="11.109375" style="243" customWidth="1"/>
    <col min="9217" max="9217" width="13.44140625" style="243" customWidth="1"/>
    <col min="9218" max="9222" width="11.109375" style="243" customWidth="1"/>
    <col min="9223" max="9223" width="3.6640625" style="243" customWidth="1"/>
    <col min="9224" max="9226" width="10.6640625" style="243" customWidth="1"/>
    <col min="9227" max="9469" width="8.88671875" style="243"/>
    <col min="9470" max="9470" width="3.6640625" style="243" customWidth="1"/>
    <col min="9471" max="9472" width="11.109375" style="243" customWidth="1"/>
    <col min="9473" max="9473" width="13.44140625" style="243" customWidth="1"/>
    <col min="9474" max="9478" width="11.109375" style="243" customWidth="1"/>
    <col min="9479" max="9479" width="3.6640625" style="243" customWidth="1"/>
    <col min="9480" max="9482" width="10.6640625" style="243" customWidth="1"/>
    <col min="9483" max="9725" width="8.88671875" style="243"/>
    <col min="9726" max="9726" width="3.6640625" style="243" customWidth="1"/>
    <col min="9727" max="9728" width="11.109375" style="243" customWidth="1"/>
    <col min="9729" max="9729" width="13.44140625" style="243" customWidth="1"/>
    <col min="9730" max="9734" width="11.109375" style="243" customWidth="1"/>
    <col min="9735" max="9735" width="3.6640625" style="243" customWidth="1"/>
    <col min="9736" max="9738" width="10.6640625" style="243" customWidth="1"/>
    <col min="9739" max="9981" width="8.88671875" style="243"/>
    <col min="9982" max="9982" width="3.6640625" style="243" customWidth="1"/>
    <col min="9983" max="9984" width="11.109375" style="243" customWidth="1"/>
    <col min="9985" max="9985" width="13.44140625" style="243" customWidth="1"/>
    <col min="9986" max="9990" width="11.109375" style="243" customWidth="1"/>
    <col min="9991" max="9991" width="3.6640625" style="243" customWidth="1"/>
    <col min="9992" max="9994" width="10.6640625" style="243" customWidth="1"/>
    <col min="9995" max="10237" width="8.88671875" style="243"/>
    <col min="10238" max="10238" width="3.6640625" style="243" customWidth="1"/>
    <col min="10239" max="10240" width="11.109375" style="243" customWidth="1"/>
    <col min="10241" max="10241" width="13.44140625" style="243" customWidth="1"/>
    <col min="10242" max="10246" width="11.109375" style="243" customWidth="1"/>
    <col min="10247" max="10247" width="3.6640625" style="243" customWidth="1"/>
    <col min="10248" max="10250" width="10.6640625" style="243" customWidth="1"/>
    <col min="10251" max="10493" width="8.88671875" style="243"/>
    <col min="10494" max="10494" width="3.6640625" style="243" customWidth="1"/>
    <col min="10495" max="10496" width="11.109375" style="243" customWidth="1"/>
    <col min="10497" max="10497" width="13.44140625" style="243" customWidth="1"/>
    <col min="10498" max="10502" width="11.109375" style="243" customWidth="1"/>
    <col min="10503" max="10503" width="3.6640625" style="243" customWidth="1"/>
    <col min="10504" max="10506" width="10.6640625" style="243" customWidth="1"/>
    <col min="10507" max="10749" width="8.88671875" style="243"/>
    <col min="10750" max="10750" width="3.6640625" style="243" customWidth="1"/>
    <col min="10751" max="10752" width="11.109375" style="243" customWidth="1"/>
    <col min="10753" max="10753" width="13.44140625" style="243" customWidth="1"/>
    <col min="10754" max="10758" width="11.109375" style="243" customWidth="1"/>
    <col min="10759" max="10759" width="3.6640625" style="243" customWidth="1"/>
    <col min="10760" max="10762" width="10.6640625" style="243" customWidth="1"/>
    <col min="10763" max="11005" width="8.88671875" style="243"/>
    <col min="11006" max="11006" width="3.6640625" style="243" customWidth="1"/>
    <col min="11007" max="11008" width="11.109375" style="243" customWidth="1"/>
    <col min="11009" max="11009" width="13.44140625" style="243" customWidth="1"/>
    <col min="11010" max="11014" width="11.109375" style="243" customWidth="1"/>
    <col min="11015" max="11015" width="3.6640625" style="243" customWidth="1"/>
    <col min="11016" max="11018" width="10.6640625" style="243" customWidth="1"/>
    <col min="11019" max="11261" width="8.88671875" style="243"/>
    <col min="11262" max="11262" width="3.6640625" style="243" customWidth="1"/>
    <col min="11263" max="11264" width="11.109375" style="243" customWidth="1"/>
    <col min="11265" max="11265" width="13.44140625" style="243" customWidth="1"/>
    <col min="11266" max="11270" width="11.109375" style="243" customWidth="1"/>
    <col min="11271" max="11271" width="3.6640625" style="243" customWidth="1"/>
    <col min="11272" max="11274" width="10.6640625" style="243" customWidth="1"/>
    <col min="11275" max="11517" width="8.88671875" style="243"/>
    <col min="11518" max="11518" width="3.6640625" style="243" customWidth="1"/>
    <col min="11519" max="11520" width="11.109375" style="243" customWidth="1"/>
    <col min="11521" max="11521" width="13.44140625" style="243" customWidth="1"/>
    <col min="11522" max="11526" width="11.109375" style="243" customWidth="1"/>
    <col min="11527" max="11527" width="3.6640625" style="243" customWidth="1"/>
    <col min="11528" max="11530" width="10.6640625" style="243" customWidth="1"/>
    <col min="11531" max="11773" width="8.88671875" style="243"/>
    <col min="11774" max="11774" width="3.6640625" style="243" customWidth="1"/>
    <col min="11775" max="11776" width="11.109375" style="243" customWidth="1"/>
    <col min="11777" max="11777" width="13.44140625" style="243" customWidth="1"/>
    <col min="11778" max="11782" width="11.109375" style="243" customWidth="1"/>
    <col min="11783" max="11783" width="3.6640625" style="243" customWidth="1"/>
    <col min="11784" max="11786" width="10.6640625" style="243" customWidth="1"/>
    <col min="11787" max="12029" width="8.88671875" style="243"/>
    <col min="12030" max="12030" width="3.6640625" style="243" customWidth="1"/>
    <col min="12031" max="12032" width="11.109375" style="243" customWidth="1"/>
    <col min="12033" max="12033" width="13.44140625" style="243" customWidth="1"/>
    <col min="12034" max="12038" width="11.109375" style="243" customWidth="1"/>
    <col min="12039" max="12039" width="3.6640625" style="243" customWidth="1"/>
    <col min="12040" max="12042" width="10.6640625" style="243" customWidth="1"/>
    <col min="12043" max="12285" width="8.88671875" style="243"/>
    <col min="12286" max="12286" width="3.6640625" style="243" customWidth="1"/>
    <col min="12287" max="12288" width="11.109375" style="243" customWidth="1"/>
    <col min="12289" max="12289" width="13.44140625" style="243" customWidth="1"/>
    <col min="12290" max="12294" width="11.109375" style="243" customWidth="1"/>
    <col min="12295" max="12295" width="3.6640625" style="243" customWidth="1"/>
    <col min="12296" max="12298" width="10.6640625" style="243" customWidth="1"/>
    <col min="12299" max="12541" width="8.88671875" style="243"/>
    <col min="12542" max="12542" width="3.6640625" style="243" customWidth="1"/>
    <col min="12543" max="12544" width="11.109375" style="243" customWidth="1"/>
    <col min="12545" max="12545" width="13.44140625" style="243" customWidth="1"/>
    <col min="12546" max="12550" width="11.109375" style="243" customWidth="1"/>
    <col min="12551" max="12551" width="3.6640625" style="243" customWidth="1"/>
    <col min="12552" max="12554" width="10.6640625" style="243" customWidth="1"/>
    <col min="12555" max="12797" width="8.88671875" style="243"/>
    <col min="12798" max="12798" width="3.6640625" style="243" customWidth="1"/>
    <col min="12799" max="12800" width="11.109375" style="243" customWidth="1"/>
    <col min="12801" max="12801" width="13.44140625" style="243" customWidth="1"/>
    <col min="12802" max="12806" width="11.109375" style="243" customWidth="1"/>
    <col min="12807" max="12807" width="3.6640625" style="243" customWidth="1"/>
    <col min="12808" max="12810" width="10.6640625" style="243" customWidth="1"/>
    <col min="12811" max="13053" width="8.88671875" style="243"/>
    <col min="13054" max="13054" width="3.6640625" style="243" customWidth="1"/>
    <col min="13055" max="13056" width="11.109375" style="243" customWidth="1"/>
    <col min="13057" max="13057" width="13.44140625" style="243" customWidth="1"/>
    <col min="13058" max="13062" width="11.109375" style="243" customWidth="1"/>
    <col min="13063" max="13063" width="3.6640625" style="243" customWidth="1"/>
    <col min="13064" max="13066" width="10.6640625" style="243" customWidth="1"/>
    <col min="13067" max="13309" width="8.88671875" style="243"/>
    <col min="13310" max="13310" width="3.6640625" style="243" customWidth="1"/>
    <col min="13311" max="13312" width="11.109375" style="243" customWidth="1"/>
    <col min="13313" max="13313" width="13.44140625" style="243" customWidth="1"/>
    <col min="13314" max="13318" width="11.109375" style="243" customWidth="1"/>
    <col min="13319" max="13319" width="3.6640625" style="243" customWidth="1"/>
    <col min="13320" max="13322" width="10.6640625" style="243" customWidth="1"/>
    <col min="13323" max="13565" width="8.88671875" style="243"/>
    <col min="13566" max="13566" width="3.6640625" style="243" customWidth="1"/>
    <col min="13567" max="13568" width="11.109375" style="243" customWidth="1"/>
    <col min="13569" max="13569" width="13.44140625" style="243" customWidth="1"/>
    <col min="13570" max="13574" width="11.109375" style="243" customWidth="1"/>
    <col min="13575" max="13575" width="3.6640625" style="243" customWidth="1"/>
    <col min="13576" max="13578" width="10.6640625" style="243" customWidth="1"/>
    <col min="13579" max="13821" width="8.88671875" style="243"/>
    <col min="13822" max="13822" width="3.6640625" style="243" customWidth="1"/>
    <col min="13823" max="13824" width="11.109375" style="243" customWidth="1"/>
    <col min="13825" max="13825" width="13.44140625" style="243" customWidth="1"/>
    <col min="13826" max="13830" width="11.109375" style="243" customWidth="1"/>
    <col min="13831" max="13831" width="3.6640625" style="243" customWidth="1"/>
    <col min="13832" max="13834" width="10.6640625" style="243" customWidth="1"/>
    <col min="13835" max="14077" width="8.88671875" style="243"/>
    <col min="14078" max="14078" width="3.6640625" style="243" customWidth="1"/>
    <col min="14079" max="14080" width="11.109375" style="243" customWidth="1"/>
    <col min="14081" max="14081" width="13.44140625" style="243" customWidth="1"/>
    <col min="14082" max="14086" width="11.109375" style="243" customWidth="1"/>
    <col min="14087" max="14087" width="3.6640625" style="243" customWidth="1"/>
    <col min="14088" max="14090" width="10.6640625" style="243" customWidth="1"/>
    <col min="14091" max="14333" width="8.88671875" style="243"/>
    <col min="14334" max="14334" width="3.6640625" style="243" customWidth="1"/>
    <col min="14335" max="14336" width="11.109375" style="243" customWidth="1"/>
    <col min="14337" max="14337" width="13.44140625" style="243" customWidth="1"/>
    <col min="14338" max="14342" width="11.109375" style="243" customWidth="1"/>
    <col min="14343" max="14343" width="3.6640625" style="243" customWidth="1"/>
    <col min="14344" max="14346" width="10.6640625" style="243" customWidth="1"/>
    <col min="14347" max="14589" width="8.88671875" style="243"/>
    <col min="14590" max="14590" width="3.6640625" style="243" customWidth="1"/>
    <col min="14591" max="14592" width="11.109375" style="243" customWidth="1"/>
    <col min="14593" max="14593" width="13.44140625" style="243" customWidth="1"/>
    <col min="14594" max="14598" width="11.109375" style="243" customWidth="1"/>
    <col min="14599" max="14599" width="3.6640625" style="243" customWidth="1"/>
    <col min="14600" max="14602" width="10.6640625" style="243" customWidth="1"/>
    <col min="14603" max="14845" width="8.88671875" style="243"/>
    <col min="14846" max="14846" width="3.6640625" style="243" customWidth="1"/>
    <col min="14847" max="14848" width="11.109375" style="243" customWidth="1"/>
    <col min="14849" max="14849" width="13.44140625" style="243" customWidth="1"/>
    <col min="14850" max="14854" width="11.109375" style="243" customWidth="1"/>
    <col min="14855" max="14855" width="3.6640625" style="243" customWidth="1"/>
    <col min="14856" max="14858" width="10.6640625" style="243" customWidth="1"/>
    <col min="14859" max="15101" width="8.88671875" style="243"/>
    <col min="15102" max="15102" width="3.6640625" style="243" customWidth="1"/>
    <col min="15103" max="15104" width="11.109375" style="243" customWidth="1"/>
    <col min="15105" max="15105" width="13.44140625" style="243" customWidth="1"/>
    <col min="15106" max="15110" width="11.109375" style="243" customWidth="1"/>
    <col min="15111" max="15111" width="3.6640625" style="243" customWidth="1"/>
    <col min="15112" max="15114" width="10.6640625" style="243" customWidth="1"/>
    <col min="15115" max="15357" width="8.88671875" style="243"/>
    <col min="15358" max="15358" width="3.6640625" style="243" customWidth="1"/>
    <col min="15359" max="15360" width="11.109375" style="243" customWidth="1"/>
    <col min="15361" max="15361" width="13.44140625" style="243" customWidth="1"/>
    <col min="15362" max="15366" width="11.109375" style="243" customWidth="1"/>
    <col min="15367" max="15367" width="3.6640625" style="243" customWidth="1"/>
    <col min="15368" max="15370" width="10.6640625" style="243" customWidth="1"/>
    <col min="15371" max="15613" width="8.88671875" style="243"/>
    <col min="15614" max="15614" width="3.6640625" style="243" customWidth="1"/>
    <col min="15615" max="15616" width="11.109375" style="243" customWidth="1"/>
    <col min="15617" max="15617" width="13.44140625" style="243" customWidth="1"/>
    <col min="15618" max="15622" width="11.109375" style="243" customWidth="1"/>
    <col min="15623" max="15623" width="3.6640625" style="243" customWidth="1"/>
    <col min="15624" max="15626" width="10.6640625" style="243" customWidth="1"/>
    <col min="15627" max="15869" width="8.88671875" style="243"/>
    <col min="15870" max="15870" width="3.6640625" style="243" customWidth="1"/>
    <col min="15871" max="15872" width="11.109375" style="243" customWidth="1"/>
    <col min="15873" max="15873" width="13.44140625" style="243" customWidth="1"/>
    <col min="15874" max="15878" width="11.109375" style="243" customWidth="1"/>
    <col min="15879" max="15879" width="3.6640625" style="243" customWidth="1"/>
    <col min="15880" max="15882" width="10.6640625" style="243" customWidth="1"/>
    <col min="15883" max="16125" width="8.88671875" style="243"/>
    <col min="16126" max="16126" width="3.6640625" style="243" customWidth="1"/>
    <col min="16127" max="16128" width="11.109375" style="243" customWidth="1"/>
    <col min="16129" max="16129" width="13.44140625" style="243" customWidth="1"/>
    <col min="16130" max="16134" width="11.109375" style="243" customWidth="1"/>
    <col min="16135" max="16135" width="3.6640625" style="243" customWidth="1"/>
    <col min="16136" max="16138" width="10.6640625" style="243" customWidth="1"/>
    <col min="16139" max="16384" width="8.88671875" style="243"/>
  </cols>
  <sheetData>
    <row r="1" spans="1:18" ht="19.5" customHeight="1">
      <c r="A1" s="240" t="s">
        <v>7</v>
      </c>
      <c r="B1" s="241"/>
      <c r="C1" s="241"/>
      <c r="D1" s="241"/>
      <c r="E1" s="241"/>
      <c r="F1" s="241"/>
      <c r="G1" s="241"/>
      <c r="H1" s="241"/>
      <c r="I1" s="241"/>
      <c r="J1" s="242"/>
    </row>
    <row r="2" spans="1:18" ht="21">
      <c r="A2" s="245" t="s">
        <v>61</v>
      </c>
      <c r="B2" s="246"/>
      <c r="C2" s="246"/>
      <c r="D2" s="246"/>
      <c r="E2" s="246"/>
      <c r="F2" s="246"/>
      <c r="G2" s="246"/>
      <c r="H2" s="246"/>
      <c r="I2" s="246"/>
      <c r="J2" s="247"/>
    </row>
    <row r="3" spans="1:18" ht="15.6">
      <c r="A3" s="248" t="s">
        <v>62</v>
      </c>
      <c r="B3" s="249"/>
      <c r="C3" s="249"/>
      <c r="D3" s="249"/>
      <c r="E3" s="249"/>
      <c r="F3" s="249"/>
      <c r="G3" s="249"/>
      <c r="H3" s="249"/>
      <c r="I3" s="249"/>
      <c r="J3" s="250"/>
    </row>
    <row r="4" spans="1:18" ht="15.6">
      <c r="A4" s="248" t="s">
        <v>63</v>
      </c>
      <c r="B4" s="249"/>
      <c r="C4" s="249"/>
      <c r="D4" s="249"/>
      <c r="E4" s="249"/>
      <c r="F4" s="249"/>
      <c r="G4" s="249"/>
      <c r="H4" s="249"/>
      <c r="I4" s="249"/>
      <c r="J4" s="250"/>
    </row>
    <row r="5" spans="1:18">
      <c r="A5" s="251" t="s">
        <v>64</v>
      </c>
      <c r="B5" s="252"/>
      <c r="C5" s="252"/>
      <c r="D5" s="252"/>
      <c r="E5" s="252"/>
      <c r="F5" s="252"/>
      <c r="G5" s="252"/>
      <c r="H5" s="252"/>
      <c r="I5" s="252"/>
      <c r="J5" s="253"/>
    </row>
    <row r="6" spans="1:18" ht="21.6" customHeight="1">
      <c r="A6" s="254"/>
      <c r="B6" s="255" t="str">
        <f>Report!B6</f>
        <v>Ras Al Hekma International Airport</v>
      </c>
      <c r="C6" s="255"/>
      <c r="D6" s="255"/>
      <c r="E6" s="255"/>
      <c r="F6" s="256"/>
      <c r="G6" s="256"/>
      <c r="H6" s="255" t="str">
        <f>Report!O6</f>
        <v>File No.5143</v>
      </c>
      <c r="I6" s="255"/>
      <c r="J6" s="257"/>
    </row>
    <row r="7" spans="1:18" ht="20.100000000000001" customHeight="1">
      <c r="A7" s="258"/>
      <c r="B7" s="260" t="str">
        <f>Report!B7</f>
        <v>Project Spec :- Section 31 23 16.33 ( Excavation, Fill and Subgrade)</v>
      </c>
      <c r="C7" s="260"/>
      <c r="D7" s="260"/>
      <c r="E7" s="260"/>
      <c r="F7" s="260"/>
      <c r="G7" s="259"/>
      <c r="H7" s="348" t="str">
        <f>Proctor!I8</f>
        <v>Date: 06/09/2025</v>
      </c>
      <c r="I7" s="348"/>
      <c r="J7" s="261"/>
    </row>
    <row r="8" spans="1:18" ht="24" customHeight="1">
      <c r="A8" s="262" t="s">
        <v>65</v>
      </c>
      <c r="B8" s="263"/>
      <c r="C8" s="263"/>
      <c r="D8" s="263"/>
      <c r="E8" s="263"/>
      <c r="F8" s="263"/>
      <c r="G8" s="263"/>
      <c r="H8" s="263"/>
      <c r="I8" s="263"/>
      <c r="J8" s="264"/>
    </row>
    <row r="9" spans="1:18" ht="24" customHeight="1">
      <c r="A9" s="265" t="s">
        <v>66</v>
      </c>
      <c r="B9" s="266"/>
      <c r="C9" s="266"/>
      <c r="D9" s="266"/>
      <c r="E9" s="266"/>
      <c r="F9" s="266"/>
      <c r="G9" s="266"/>
      <c r="H9" s="266"/>
      <c r="I9" s="266"/>
      <c r="J9" s="267"/>
    </row>
    <row r="10" spans="1:18" ht="24" customHeight="1">
      <c r="A10" s="268" t="s">
        <v>67</v>
      </c>
      <c r="B10" s="269"/>
      <c r="C10" s="269"/>
      <c r="D10" s="269"/>
      <c r="E10" s="269"/>
      <c r="F10" s="269"/>
      <c r="G10" s="269"/>
      <c r="H10" s="269"/>
      <c r="I10" s="269"/>
      <c r="J10" s="270"/>
    </row>
    <row r="11" spans="1:18" ht="24.9" customHeight="1">
      <c r="A11" s="271"/>
      <c r="B11" s="272" t="s">
        <v>43</v>
      </c>
      <c r="C11" s="272"/>
      <c r="D11" s="352">
        <f>Report!F11</f>
        <v>45900</v>
      </c>
      <c r="E11" s="352"/>
      <c r="G11" s="351" t="s">
        <v>88</v>
      </c>
      <c r="H11" s="351"/>
      <c r="I11" s="352">
        <f>Report!F11+2</f>
        <v>45902</v>
      </c>
      <c r="J11" s="355"/>
      <c r="K11" s="346"/>
      <c r="L11" s="344"/>
      <c r="M11" s="344"/>
      <c r="N11" s="344"/>
      <c r="O11" s="344"/>
      <c r="P11" s="344"/>
      <c r="Q11" s="344"/>
      <c r="R11" s="344"/>
    </row>
    <row r="12" spans="1:18" s="276" customFormat="1" ht="24.9" customHeight="1">
      <c r="A12" s="273"/>
      <c r="B12" s="274" t="s">
        <v>44</v>
      </c>
      <c r="C12" s="274"/>
      <c r="D12" s="274" t="str">
        <f>Report!F12</f>
        <v>Saleh Swiker Soil 70% + Swiker Sand 30%</v>
      </c>
      <c r="E12" s="274"/>
      <c r="F12" s="274"/>
      <c r="G12" s="274"/>
      <c r="H12" s="353"/>
      <c r="I12" s="353"/>
      <c r="J12" s="275"/>
      <c r="K12" s="347"/>
      <c r="L12" s="343"/>
      <c r="M12" s="343"/>
      <c r="N12" s="343"/>
      <c r="O12" s="343"/>
      <c r="P12" s="343"/>
      <c r="Q12" s="343"/>
      <c r="R12" s="343"/>
    </row>
    <row r="13" spans="1:18" s="276" customFormat="1" ht="24.9" customHeight="1">
      <c r="A13" s="273"/>
      <c r="B13" s="272" t="s">
        <v>48</v>
      </c>
      <c r="C13" s="272"/>
      <c r="D13" s="272"/>
      <c r="E13" s="351" t="str">
        <f>Report!I13</f>
        <v>Fill / SM</v>
      </c>
      <c r="F13" s="351"/>
      <c r="G13" s="354"/>
      <c r="H13" s="354"/>
      <c r="I13" s="354"/>
      <c r="J13" s="275"/>
      <c r="K13" s="347"/>
      <c r="L13" s="343"/>
      <c r="M13" s="343"/>
      <c r="N13" s="343"/>
      <c r="O13" s="343"/>
      <c r="P13" s="343"/>
      <c r="Q13" s="343"/>
      <c r="R13" s="343"/>
    </row>
    <row r="14" spans="1:18" s="276" customFormat="1" ht="24.9" customHeight="1">
      <c r="A14" s="273"/>
      <c r="B14" s="277" t="s">
        <v>32</v>
      </c>
      <c r="C14" s="278">
        <f>Report!E14</f>
        <v>3</v>
      </c>
      <c r="D14" s="277"/>
      <c r="E14" s="277"/>
      <c r="F14" s="279"/>
      <c r="G14" s="279"/>
      <c r="H14" s="279"/>
      <c r="I14" s="279"/>
      <c r="J14" s="275"/>
      <c r="K14" s="347"/>
      <c r="L14" s="343"/>
      <c r="M14" s="343"/>
      <c r="N14" s="344"/>
      <c r="O14" s="343"/>
      <c r="P14" s="343"/>
      <c r="Q14" s="343"/>
      <c r="R14" s="343"/>
    </row>
    <row r="15" spans="1:18" s="276" customFormat="1" ht="24.9" customHeight="1">
      <c r="A15" s="273"/>
      <c r="B15" s="280" t="s">
        <v>33</v>
      </c>
      <c r="C15" s="278">
        <f>Report!E15</f>
        <v>50</v>
      </c>
      <c r="D15" s="277"/>
      <c r="E15" s="280"/>
      <c r="F15" s="279"/>
      <c r="G15" s="279"/>
      <c r="H15" s="279"/>
      <c r="I15" s="279"/>
      <c r="J15" s="275"/>
      <c r="K15" s="347"/>
      <c r="L15" s="343"/>
      <c r="M15" s="343"/>
      <c r="N15" s="343"/>
      <c r="O15" s="343"/>
      <c r="P15" s="343"/>
      <c r="Q15" s="343"/>
      <c r="R15" s="343"/>
    </row>
    <row r="16" spans="1:18" ht="6" customHeight="1">
      <c r="A16" s="281"/>
      <c r="B16" s="282"/>
      <c r="C16" s="282"/>
      <c r="D16" s="282"/>
      <c r="E16" s="282"/>
      <c r="F16" s="283"/>
      <c r="G16" s="283"/>
      <c r="H16" s="283"/>
      <c r="I16" s="283"/>
      <c r="J16" s="284"/>
    </row>
    <row r="17" spans="1:23" ht="21.75" customHeight="1">
      <c r="A17" s="281"/>
      <c r="G17" s="286" t="s">
        <v>68</v>
      </c>
      <c r="H17" s="286" t="s">
        <v>69</v>
      </c>
      <c r="I17" s="286" t="s">
        <v>70</v>
      </c>
      <c r="J17" s="287"/>
    </row>
    <row r="18" spans="1:23" ht="21.75" customHeight="1">
      <c r="A18" s="281"/>
      <c r="G18" s="288" t="s">
        <v>71</v>
      </c>
      <c r="H18" s="288" t="s">
        <v>72</v>
      </c>
      <c r="I18" s="288" t="s">
        <v>73</v>
      </c>
      <c r="J18" s="289"/>
      <c r="L18" s="337"/>
    </row>
    <row r="19" spans="1:23" ht="21.75" customHeight="1">
      <c r="A19" s="281"/>
      <c r="G19" s="290">
        <v>0</v>
      </c>
      <c r="H19" s="290">
        <v>0</v>
      </c>
      <c r="I19" s="291">
        <v>0</v>
      </c>
      <c r="J19" s="349"/>
      <c r="K19" s="335">
        <v>0</v>
      </c>
      <c r="L19" s="337"/>
    </row>
    <row r="20" spans="1:23" ht="21.75" customHeight="1">
      <c r="A20" s="281"/>
      <c r="G20" s="295">
        <v>2.5000000000000001E-2</v>
      </c>
      <c r="H20" s="296">
        <f>405.05*K20/10000</f>
        <v>1.5796950000000001</v>
      </c>
      <c r="I20" s="297">
        <f>((H20*223.21)/3)</f>
        <v>117.53457365000001</v>
      </c>
      <c r="J20" s="350"/>
      <c r="K20" s="335">
        <v>39</v>
      </c>
      <c r="L20" s="337"/>
    </row>
    <row r="21" spans="1:23" ht="21.75" customHeight="1">
      <c r="A21" s="281"/>
      <c r="G21" s="296">
        <v>0.05</v>
      </c>
      <c r="H21" s="296">
        <f t="shared" ref="H21:H29" si="0">405.05*K21/10000</f>
        <v>2.9163600000000001</v>
      </c>
      <c r="I21" s="297">
        <f t="shared" ref="I21:I26" si="1">((H21*223.21)/3)</f>
        <v>216.98690520000002</v>
      </c>
      <c r="J21" s="350"/>
      <c r="K21" s="335">
        <v>72</v>
      </c>
      <c r="L21" s="337"/>
    </row>
    <row r="22" spans="1:23" ht="21.75" customHeight="1">
      <c r="A22" s="281"/>
      <c r="G22" s="296">
        <v>7.4999999999999997E-2</v>
      </c>
      <c r="H22" s="296">
        <f t="shared" si="0"/>
        <v>4.172015</v>
      </c>
      <c r="I22" s="297">
        <f t="shared" si="1"/>
        <v>310.41182271666668</v>
      </c>
      <c r="J22" s="350"/>
      <c r="K22" s="335">
        <v>103</v>
      </c>
      <c r="L22" s="337"/>
    </row>
    <row r="23" spans="1:23" ht="21.75" customHeight="1">
      <c r="A23" s="281"/>
      <c r="G23" s="296">
        <v>0.1</v>
      </c>
      <c r="H23" s="296">
        <f t="shared" si="0"/>
        <v>5.7517100000000001</v>
      </c>
      <c r="I23" s="297">
        <f t="shared" si="1"/>
        <v>427.9463963666667</v>
      </c>
      <c r="J23" s="350"/>
      <c r="K23" s="335">
        <v>142</v>
      </c>
      <c r="L23" s="337"/>
    </row>
    <row r="24" spans="1:23" ht="21.75" customHeight="1">
      <c r="A24" s="281"/>
      <c r="G24" s="296">
        <v>0.125</v>
      </c>
      <c r="H24" s="296">
        <f t="shared" si="0"/>
        <v>7.2503950000000001</v>
      </c>
      <c r="I24" s="297">
        <f t="shared" si="1"/>
        <v>539.45355598333333</v>
      </c>
      <c r="J24" s="350"/>
      <c r="K24" s="335">
        <v>179</v>
      </c>
      <c r="L24" s="337"/>
    </row>
    <row r="25" spans="1:23" ht="21.75" customHeight="1">
      <c r="A25" s="281"/>
      <c r="G25" s="296">
        <v>0.15</v>
      </c>
      <c r="H25" s="296">
        <f t="shared" si="0"/>
        <v>8.7085749999999997</v>
      </c>
      <c r="I25" s="297">
        <f t="shared" si="1"/>
        <v>647.94700858333329</v>
      </c>
      <c r="J25" s="350"/>
      <c r="K25" s="335">
        <v>215</v>
      </c>
      <c r="L25" s="337"/>
    </row>
    <row r="26" spans="1:23" ht="21.75" customHeight="1">
      <c r="A26" s="281"/>
      <c r="G26" s="296">
        <v>0.17499999999999999</v>
      </c>
      <c r="H26" s="296">
        <f t="shared" si="0"/>
        <v>10.328775</v>
      </c>
      <c r="I26" s="297">
        <f t="shared" si="1"/>
        <v>768.49528925000004</v>
      </c>
      <c r="J26" s="350"/>
      <c r="K26" s="335">
        <v>255</v>
      </c>
      <c r="L26" s="337"/>
    </row>
    <row r="27" spans="1:23" ht="21.75" customHeight="1">
      <c r="A27" s="281"/>
      <c r="G27" s="296">
        <v>0.2</v>
      </c>
      <c r="H27" s="296">
        <f t="shared" si="0"/>
        <v>11.138875000000001</v>
      </c>
      <c r="I27" s="297">
        <f>((H27*223.21)/3)</f>
        <v>828.76942958333348</v>
      </c>
      <c r="J27" s="350"/>
      <c r="K27" s="335">
        <v>275</v>
      </c>
      <c r="L27" s="337"/>
    </row>
    <row r="28" spans="1:23" ht="21.75" customHeight="1">
      <c r="A28" s="281"/>
      <c r="G28" s="296">
        <v>0.3</v>
      </c>
      <c r="H28" s="296">
        <f t="shared" si="0"/>
        <v>11.746449999999999</v>
      </c>
      <c r="I28" s="297">
        <f t="shared" ref="I28:I29" si="2">((H28*223.21)/3)</f>
        <v>873.97503483333332</v>
      </c>
      <c r="J28" s="350"/>
      <c r="K28" s="335">
        <v>290</v>
      </c>
      <c r="L28" s="337"/>
    </row>
    <row r="29" spans="1:23" ht="21.75" customHeight="1">
      <c r="A29" s="281"/>
      <c r="G29" s="296">
        <v>0.4</v>
      </c>
      <c r="H29" s="296">
        <f t="shared" si="0"/>
        <v>11.948975000000001</v>
      </c>
      <c r="I29" s="297">
        <f t="shared" si="2"/>
        <v>889.0435699166668</v>
      </c>
      <c r="J29" s="350"/>
      <c r="K29" s="335">
        <v>295</v>
      </c>
      <c r="L29" s="337"/>
    </row>
    <row r="30" spans="1:23" ht="15.75" customHeight="1">
      <c r="A30" s="300" t="s">
        <v>75</v>
      </c>
      <c r="H30" s="283"/>
      <c r="J30" s="28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</row>
    <row r="31" spans="1:23" ht="25.5" customHeight="1">
      <c r="A31" s="301"/>
      <c r="B31" s="302" t="s">
        <v>86</v>
      </c>
      <c r="C31" s="302"/>
      <c r="D31" s="302"/>
      <c r="E31" s="302"/>
      <c r="F31" s="302"/>
      <c r="G31" s="302"/>
      <c r="H31" s="302"/>
      <c r="I31" s="302"/>
      <c r="J31" s="303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</row>
    <row r="32" spans="1:23" ht="11.25" customHeight="1">
      <c r="A32" s="300"/>
      <c r="B32" s="304"/>
      <c r="C32" s="305"/>
      <c r="D32" s="306"/>
      <c r="E32" s="306"/>
      <c r="F32" s="306"/>
      <c r="G32" s="307"/>
      <c r="H32" s="283"/>
      <c r="J32" s="28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</row>
    <row r="33" spans="1:23" ht="22.5" customHeight="1">
      <c r="A33" s="300" t="s">
        <v>75</v>
      </c>
      <c r="B33" s="308" t="s">
        <v>77</v>
      </c>
      <c r="C33" s="308"/>
      <c r="D33" s="308"/>
      <c r="E33" s="309">
        <f>I23*100/1000</f>
        <v>42.794639636666673</v>
      </c>
      <c r="F33" s="308" t="s">
        <v>78</v>
      </c>
      <c r="G33" s="308"/>
      <c r="H33" s="308"/>
      <c r="I33" s="309">
        <f>I27*100/1500</f>
        <v>55.251295305555573</v>
      </c>
      <c r="J33" s="28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</row>
    <row r="34" spans="1:23" ht="22.5" customHeight="1">
      <c r="A34" s="300"/>
      <c r="B34" s="308" t="s">
        <v>79</v>
      </c>
      <c r="C34" s="308"/>
      <c r="D34" s="308"/>
      <c r="E34" s="309">
        <f>I33</f>
        <v>55.251295305555573</v>
      </c>
      <c r="F34" s="310" t="s">
        <v>80</v>
      </c>
      <c r="G34" s="311"/>
      <c r="H34" s="312"/>
      <c r="I34" s="313"/>
      <c r="J34" s="28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</row>
    <row r="35" spans="1:23" ht="22.5" customHeight="1">
      <c r="A35" s="300"/>
      <c r="B35" s="308" t="s">
        <v>81</v>
      </c>
      <c r="C35" s="308"/>
      <c r="D35" s="308"/>
      <c r="E35" s="295">
        <v>0</v>
      </c>
      <c r="F35" s="310" t="s">
        <v>82</v>
      </c>
      <c r="G35" s="311"/>
      <c r="H35" s="312"/>
      <c r="I35" s="314">
        <v>2.15</v>
      </c>
      <c r="J35" s="28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</row>
    <row r="36" spans="1:23" ht="10.5" customHeight="1">
      <c r="A36" s="281"/>
      <c r="B36" s="316"/>
      <c r="C36" s="316"/>
      <c r="D36" s="316"/>
      <c r="E36" s="316"/>
      <c r="F36" s="316"/>
      <c r="H36" s="317"/>
      <c r="J36" s="28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</row>
    <row r="37" spans="1:23" ht="8.25" customHeight="1">
      <c r="A37" s="319"/>
      <c r="B37" s="320"/>
      <c r="C37" s="321"/>
      <c r="D37" s="322"/>
      <c r="E37" s="322"/>
      <c r="F37" s="322"/>
      <c r="G37" s="322"/>
      <c r="H37" s="322"/>
      <c r="I37" s="322"/>
      <c r="J37" s="28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</row>
    <row r="38" spans="1:23" ht="10.5" customHeight="1">
      <c r="A38" s="301"/>
      <c r="B38" s="323"/>
      <c r="C38" s="324"/>
      <c r="D38" s="324"/>
      <c r="E38" s="324"/>
      <c r="F38" s="324"/>
      <c r="G38" s="324"/>
      <c r="H38" s="324"/>
      <c r="I38" s="324"/>
      <c r="J38" s="325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</row>
    <row r="39" spans="1:23" ht="15" customHeight="1">
      <c r="A39" s="281"/>
      <c r="B39" s="326" t="str">
        <f>[1]Report!B40</f>
        <v>Prepared by : Eng. Alaa Hassan</v>
      </c>
      <c r="J39" s="28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</row>
    <row r="40" spans="1:23" ht="15" customHeight="1">
      <c r="A40" s="281"/>
      <c r="J40" s="28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</row>
    <row r="41" spans="1:23" ht="20.25" customHeight="1">
      <c r="A41" s="281"/>
      <c r="J41" s="28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</row>
    <row r="42" spans="1:23" ht="15" customHeight="1" thickBot="1">
      <c r="A42" s="327"/>
      <c r="B42" s="328"/>
      <c r="C42" s="328"/>
      <c r="D42" s="328"/>
      <c r="E42" s="328"/>
      <c r="F42" s="328"/>
      <c r="G42" s="328"/>
      <c r="H42" s="328"/>
      <c r="I42" s="329" t="s">
        <v>87</v>
      </c>
      <c r="J42" s="330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</row>
    <row r="43" spans="1:23"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</row>
  </sheetData>
  <mergeCells count="27">
    <mergeCell ref="B7:F7"/>
    <mergeCell ref="B11:C11"/>
    <mergeCell ref="D11:E11"/>
    <mergeCell ref="G11:H11"/>
    <mergeCell ref="I11:J11"/>
    <mergeCell ref="B12:C12"/>
    <mergeCell ref="D12:G12"/>
    <mergeCell ref="B34:D34"/>
    <mergeCell ref="F34:H34"/>
    <mergeCell ref="B35:D35"/>
    <mergeCell ref="F35:H35"/>
    <mergeCell ref="B31:I31"/>
    <mergeCell ref="B33:D33"/>
    <mergeCell ref="F33:H33"/>
    <mergeCell ref="B13:D13"/>
    <mergeCell ref="E13:F13"/>
    <mergeCell ref="H7:I7"/>
    <mergeCell ref="A8:J8"/>
    <mergeCell ref="A9:J9"/>
    <mergeCell ref="A10:I10"/>
    <mergeCell ref="A1:J1"/>
    <mergeCell ref="A2:J2"/>
    <mergeCell ref="A3:J3"/>
    <mergeCell ref="A4:J4"/>
    <mergeCell ref="A5:J5"/>
    <mergeCell ref="B6:E6"/>
    <mergeCell ref="H6:I6"/>
  </mergeCells>
  <printOptions horizontalCentered="1" verticalCentered="1"/>
  <pageMargins left="0" right="0" top="0" bottom="0" header="0" footer="0"/>
  <pageSetup paperSize="9" scale="98" orientation="portrait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681F5-637F-4DE3-B733-A99F4E144C96}">
  <dimension ref="A1:R45"/>
  <sheetViews>
    <sheetView showGridLines="0" tabSelected="1" view="pageBreakPreview" topLeftCell="A14" zoomScaleNormal="100" zoomScaleSheetLayoutView="100" workbookViewId="0">
      <selection activeCell="B37" sqref="B37:H37"/>
    </sheetView>
  </sheetViews>
  <sheetFormatPr defaultRowHeight="13.2"/>
  <cols>
    <col min="1" max="1" width="5.6640625" style="243" customWidth="1"/>
    <col min="2" max="2" width="12.44140625" style="243" customWidth="1"/>
    <col min="3" max="7" width="12" style="243" customWidth="1"/>
    <col min="8" max="8" width="12.88671875" style="243" customWidth="1"/>
    <col min="9" max="9" width="19.44140625" style="243" customWidth="1"/>
    <col min="10" max="10" width="5.6640625" style="243" customWidth="1"/>
    <col min="11" max="12" width="10.6640625" style="243" customWidth="1"/>
    <col min="13" max="257" width="8.88671875" style="243"/>
    <col min="258" max="258" width="5.6640625" style="243" customWidth="1"/>
    <col min="259" max="265" width="12" style="243" customWidth="1"/>
    <col min="266" max="266" width="5.6640625" style="243" customWidth="1"/>
    <col min="267" max="268" width="10.6640625" style="243" customWidth="1"/>
    <col min="269" max="513" width="8.88671875" style="243"/>
    <col min="514" max="514" width="5.6640625" style="243" customWidth="1"/>
    <col min="515" max="521" width="12" style="243" customWidth="1"/>
    <col min="522" max="522" width="5.6640625" style="243" customWidth="1"/>
    <col min="523" max="524" width="10.6640625" style="243" customWidth="1"/>
    <col min="525" max="769" width="8.88671875" style="243"/>
    <col min="770" max="770" width="5.6640625" style="243" customWidth="1"/>
    <col min="771" max="777" width="12" style="243" customWidth="1"/>
    <col min="778" max="778" width="5.6640625" style="243" customWidth="1"/>
    <col min="779" max="780" width="10.6640625" style="243" customWidth="1"/>
    <col min="781" max="1025" width="8.88671875" style="243"/>
    <col min="1026" max="1026" width="5.6640625" style="243" customWidth="1"/>
    <col min="1027" max="1033" width="12" style="243" customWidth="1"/>
    <col min="1034" max="1034" width="5.6640625" style="243" customWidth="1"/>
    <col min="1035" max="1036" width="10.6640625" style="243" customWidth="1"/>
    <col min="1037" max="1281" width="8.88671875" style="243"/>
    <col min="1282" max="1282" width="5.6640625" style="243" customWidth="1"/>
    <col min="1283" max="1289" width="12" style="243" customWidth="1"/>
    <col min="1290" max="1290" width="5.6640625" style="243" customWidth="1"/>
    <col min="1291" max="1292" width="10.6640625" style="243" customWidth="1"/>
    <col min="1293" max="1537" width="8.88671875" style="243"/>
    <col min="1538" max="1538" width="5.6640625" style="243" customWidth="1"/>
    <col min="1539" max="1545" width="12" style="243" customWidth="1"/>
    <col min="1546" max="1546" width="5.6640625" style="243" customWidth="1"/>
    <col min="1547" max="1548" width="10.6640625" style="243" customWidth="1"/>
    <col min="1549" max="1793" width="8.88671875" style="243"/>
    <col min="1794" max="1794" width="5.6640625" style="243" customWidth="1"/>
    <col min="1795" max="1801" width="12" style="243" customWidth="1"/>
    <col min="1802" max="1802" width="5.6640625" style="243" customWidth="1"/>
    <col min="1803" max="1804" width="10.6640625" style="243" customWidth="1"/>
    <col min="1805" max="2049" width="8.88671875" style="243"/>
    <col min="2050" max="2050" width="5.6640625" style="243" customWidth="1"/>
    <col min="2051" max="2057" width="12" style="243" customWidth="1"/>
    <col min="2058" max="2058" width="5.6640625" style="243" customWidth="1"/>
    <col min="2059" max="2060" width="10.6640625" style="243" customWidth="1"/>
    <col min="2061" max="2305" width="8.88671875" style="243"/>
    <col min="2306" max="2306" width="5.6640625" style="243" customWidth="1"/>
    <col min="2307" max="2313" width="12" style="243" customWidth="1"/>
    <col min="2314" max="2314" width="5.6640625" style="243" customWidth="1"/>
    <col min="2315" max="2316" width="10.6640625" style="243" customWidth="1"/>
    <col min="2317" max="2561" width="8.88671875" style="243"/>
    <col min="2562" max="2562" width="5.6640625" style="243" customWidth="1"/>
    <col min="2563" max="2569" width="12" style="243" customWidth="1"/>
    <col min="2570" max="2570" width="5.6640625" style="243" customWidth="1"/>
    <col min="2571" max="2572" width="10.6640625" style="243" customWidth="1"/>
    <col min="2573" max="2817" width="8.88671875" style="243"/>
    <col min="2818" max="2818" width="5.6640625" style="243" customWidth="1"/>
    <col min="2819" max="2825" width="12" style="243" customWidth="1"/>
    <col min="2826" max="2826" width="5.6640625" style="243" customWidth="1"/>
    <col min="2827" max="2828" width="10.6640625" style="243" customWidth="1"/>
    <col min="2829" max="3073" width="8.88671875" style="243"/>
    <col min="3074" max="3074" width="5.6640625" style="243" customWidth="1"/>
    <col min="3075" max="3081" width="12" style="243" customWidth="1"/>
    <col min="3082" max="3082" width="5.6640625" style="243" customWidth="1"/>
    <col min="3083" max="3084" width="10.6640625" style="243" customWidth="1"/>
    <col min="3085" max="3329" width="8.88671875" style="243"/>
    <col min="3330" max="3330" width="5.6640625" style="243" customWidth="1"/>
    <col min="3331" max="3337" width="12" style="243" customWidth="1"/>
    <col min="3338" max="3338" width="5.6640625" style="243" customWidth="1"/>
    <col min="3339" max="3340" width="10.6640625" style="243" customWidth="1"/>
    <col min="3341" max="3585" width="8.88671875" style="243"/>
    <col min="3586" max="3586" width="5.6640625" style="243" customWidth="1"/>
    <col min="3587" max="3593" width="12" style="243" customWidth="1"/>
    <col min="3594" max="3594" width="5.6640625" style="243" customWidth="1"/>
    <col min="3595" max="3596" width="10.6640625" style="243" customWidth="1"/>
    <col min="3597" max="3841" width="8.88671875" style="243"/>
    <col min="3842" max="3842" width="5.6640625" style="243" customWidth="1"/>
    <col min="3843" max="3849" width="12" style="243" customWidth="1"/>
    <col min="3850" max="3850" width="5.6640625" style="243" customWidth="1"/>
    <col min="3851" max="3852" width="10.6640625" style="243" customWidth="1"/>
    <col min="3853" max="4097" width="8.88671875" style="243"/>
    <col min="4098" max="4098" width="5.6640625" style="243" customWidth="1"/>
    <col min="4099" max="4105" width="12" style="243" customWidth="1"/>
    <col min="4106" max="4106" width="5.6640625" style="243" customWidth="1"/>
    <col min="4107" max="4108" width="10.6640625" style="243" customWidth="1"/>
    <col min="4109" max="4353" width="8.88671875" style="243"/>
    <col min="4354" max="4354" width="5.6640625" style="243" customWidth="1"/>
    <col min="4355" max="4361" width="12" style="243" customWidth="1"/>
    <col min="4362" max="4362" width="5.6640625" style="243" customWidth="1"/>
    <col min="4363" max="4364" width="10.6640625" style="243" customWidth="1"/>
    <col min="4365" max="4609" width="8.88671875" style="243"/>
    <col min="4610" max="4610" width="5.6640625" style="243" customWidth="1"/>
    <col min="4611" max="4617" width="12" style="243" customWidth="1"/>
    <col min="4618" max="4618" width="5.6640625" style="243" customWidth="1"/>
    <col min="4619" max="4620" width="10.6640625" style="243" customWidth="1"/>
    <col min="4621" max="4865" width="8.88671875" style="243"/>
    <col min="4866" max="4866" width="5.6640625" style="243" customWidth="1"/>
    <col min="4867" max="4873" width="12" style="243" customWidth="1"/>
    <col min="4874" max="4874" width="5.6640625" style="243" customWidth="1"/>
    <col min="4875" max="4876" width="10.6640625" style="243" customWidth="1"/>
    <col min="4877" max="5121" width="8.88671875" style="243"/>
    <col min="5122" max="5122" width="5.6640625" style="243" customWidth="1"/>
    <col min="5123" max="5129" width="12" style="243" customWidth="1"/>
    <col min="5130" max="5130" width="5.6640625" style="243" customWidth="1"/>
    <col min="5131" max="5132" width="10.6640625" style="243" customWidth="1"/>
    <col min="5133" max="5377" width="8.88671875" style="243"/>
    <col min="5378" max="5378" width="5.6640625" style="243" customWidth="1"/>
    <col min="5379" max="5385" width="12" style="243" customWidth="1"/>
    <col min="5386" max="5386" width="5.6640625" style="243" customWidth="1"/>
    <col min="5387" max="5388" width="10.6640625" style="243" customWidth="1"/>
    <col min="5389" max="5633" width="8.88671875" style="243"/>
    <col min="5634" max="5634" width="5.6640625" style="243" customWidth="1"/>
    <col min="5635" max="5641" width="12" style="243" customWidth="1"/>
    <col min="5642" max="5642" width="5.6640625" style="243" customWidth="1"/>
    <col min="5643" max="5644" width="10.6640625" style="243" customWidth="1"/>
    <col min="5645" max="5889" width="8.88671875" style="243"/>
    <col min="5890" max="5890" width="5.6640625" style="243" customWidth="1"/>
    <col min="5891" max="5897" width="12" style="243" customWidth="1"/>
    <col min="5898" max="5898" width="5.6640625" style="243" customWidth="1"/>
    <col min="5899" max="5900" width="10.6640625" style="243" customWidth="1"/>
    <col min="5901" max="6145" width="8.88671875" style="243"/>
    <col min="6146" max="6146" width="5.6640625" style="243" customWidth="1"/>
    <col min="6147" max="6153" width="12" style="243" customWidth="1"/>
    <col min="6154" max="6154" width="5.6640625" style="243" customWidth="1"/>
    <col min="6155" max="6156" width="10.6640625" style="243" customWidth="1"/>
    <col min="6157" max="6401" width="8.88671875" style="243"/>
    <col min="6402" max="6402" width="5.6640625" style="243" customWidth="1"/>
    <col min="6403" max="6409" width="12" style="243" customWidth="1"/>
    <col min="6410" max="6410" width="5.6640625" style="243" customWidth="1"/>
    <col min="6411" max="6412" width="10.6640625" style="243" customWidth="1"/>
    <col min="6413" max="6657" width="8.88671875" style="243"/>
    <col min="6658" max="6658" width="5.6640625" style="243" customWidth="1"/>
    <col min="6659" max="6665" width="12" style="243" customWidth="1"/>
    <col min="6666" max="6666" width="5.6640625" style="243" customWidth="1"/>
    <col min="6667" max="6668" width="10.6640625" style="243" customWidth="1"/>
    <col min="6669" max="6913" width="8.88671875" style="243"/>
    <col min="6914" max="6914" width="5.6640625" style="243" customWidth="1"/>
    <col min="6915" max="6921" width="12" style="243" customWidth="1"/>
    <col min="6922" max="6922" width="5.6640625" style="243" customWidth="1"/>
    <col min="6923" max="6924" width="10.6640625" style="243" customWidth="1"/>
    <col min="6925" max="7169" width="8.88671875" style="243"/>
    <col min="7170" max="7170" width="5.6640625" style="243" customWidth="1"/>
    <col min="7171" max="7177" width="12" style="243" customWidth="1"/>
    <col min="7178" max="7178" width="5.6640625" style="243" customWidth="1"/>
    <col min="7179" max="7180" width="10.6640625" style="243" customWidth="1"/>
    <col min="7181" max="7425" width="8.88671875" style="243"/>
    <col min="7426" max="7426" width="5.6640625" style="243" customWidth="1"/>
    <col min="7427" max="7433" width="12" style="243" customWidth="1"/>
    <col min="7434" max="7434" width="5.6640625" style="243" customWidth="1"/>
    <col min="7435" max="7436" width="10.6640625" style="243" customWidth="1"/>
    <col min="7437" max="7681" width="8.88671875" style="243"/>
    <col min="7682" max="7682" width="5.6640625" style="243" customWidth="1"/>
    <col min="7683" max="7689" width="12" style="243" customWidth="1"/>
    <col min="7690" max="7690" width="5.6640625" style="243" customWidth="1"/>
    <col min="7691" max="7692" width="10.6640625" style="243" customWidth="1"/>
    <col min="7693" max="7937" width="8.88671875" style="243"/>
    <col min="7938" max="7938" width="5.6640625" style="243" customWidth="1"/>
    <col min="7939" max="7945" width="12" style="243" customWidth="1"/>
    <col min="7946" max="7946" width="5.6640625" style="243" customWidth="1"/>
    <col min="7947" max="7948" width="10.6640625" style="243" customWidth="1"/>
    <col min="7949" max="8193" width="8.88671875" style="243"/>
    <col min="8194" max="8194" width="5.6640625" style="243" customWidth="1"/>
    <col min="8195" max="8201" width="12" style="243" customWidth="1"/>
    <col min="8202" max="8202" width="5.6640625" style="243" customWidth="1"/>
    <col min="8203" max="8204" width="10.6640625" style="243" customWidth="1"/>
    <col min="8205" max="8449" width="8.88671875" style="243"/>
    <col min="8450" max="8450" width="5.6640625" style="243" customWidth="1"/>
    <col min="8451" max="8457" width="12" style="243" customWidth="1"/>
    <col min="8458" max="8458" width="5.6640625" style="243" customWidth="1"/>
    <col min="8459" max="8460" width="10.6640625" style="243" customWidth="1"/>
    <col min="8461" max="8705" width="8.88671875" style="243"/>
    <col min="8706" max="8706" width="5.6640625" style="243" customWidth="1"/>
    <col min="8707" max="8713" width="12" style="243" customWidth="1"/>
    <col min="8714" max="8714" width="5.6640625" style="243" customWidth="1"/>
    <col min="8715" max="8716" width="10.6640625" style="243" customWidth="1"/>
    <col min="8717" max="8961" width="8.88671875" style="243"/>
    <col min="8962" max="8962" width="5.6640625" style="243" customWidth="1"/>
    <col min="8963" max="8969" width="12" style="243" customWidth="1"/>
    <col min="8970" max="8970" width="5.6640625" style="243" customWidth="1"/>
    <col min="8971" max="8972" width="10.6640625" style="243" customWidth="1"/>
    <col min="8973" max="9217" width="8.88671875" style="243"/>
    <col min="9218" max="9218" width="5.6640625" style="243" customWidth="1"/>
    <col min="9219" max="9225" width="12" style="243" customWidth="1"/>
    <col min="9226" max="9226" width="5.6640625" style="243" customWidth="1"/>
    <col min="9227" max="9228" width="10.6640625" style="243" customWidth="1"/>
    <col min="9229" max="9473" width="8.88671875" style="243"/>
    <col min="9474" max="9474" width="5.6640625" style="243" customWidth="1"/>
    <col min="9475" max="9481" width="12" style="243" customWidth="1"/>
    <col min="9482" max="9482" width="5.6640625" style="243" customWidth="1"/>
    <col min="9483" max="9484" width="10.6640625" style="243" customWidth="1"/>
    <col min="9485" max="9729" width="8.88671875" style="243"/>
    <col min="9730" max="9730" width="5.6640625" style="243" customWidth="1"/>
    <col min="9731" max="9737" width="12" style="243" customWidth="1"/>
    <col min="9738" max="9738" width="5.6640625" style="243" customWidth="1"/>
    <col min="9739" max="9740" width="10.6640625" style="243" customWidth="1"/>
    <col min="9741" max="9985" width="8.88671875" style="243"/>
    <col min="9986" max="9986" width="5.6640625" style="243" customWidth="1"/>
    <col min="9987" max="9993" width="12" style="243" customWidth="1"/>
    <col min="9994" max="9994" width="5.6640625" style="243" customWidth="1"/>
    <col min="9995" max="9996" width="10.6640625" style="243" customWidth="1"/>
    <col min="9997" max="10241" width="8.88671875" style="243"/>
    <col min="10242" max="10242" width="5.6640625" style="243" customWidth="1"/>
    <col min="10243" max="10249" width="12" style="243" customWidth="1"/>
    <col min="10250" max="10250" width="5.6640625" style="243" customWidth="1"/>
    <col min="10251" max="10252" width="10.6640625" style="243" customWidth="1"/>
    <col min="10253" max="10497" width="8.88671875" style="243"/>
    <col min="10498" max="10498" width="5.6640625" style="243" customWidth="1"/>
    <col min="10499" max="10505" width="12" style="243" customWidth="1"/>
    <col min="10506" max="10506" width="5.6640625" style="243" customWidth="1"/>
    <col min="10507" max="10508" width="10.6640625" style="243" customWidth="1"/>
    <col min="10509" max="10753" width="8.88671875" style="243"/>
    <col min="10754" max="10754" width="5.6640625" style="243" customWidth="1"/>
    <col min="10755" max="10761" width="12" style="243" customWidth="1"/>
    <col min="10762" max="10762" width="5.6640625" style="243" customWidth="1"/>
    <col min="10763" max="10764" width="10.6640625" style="243" customWidth="1"/>
    <col min="10765" max="11009" width="8.88671875" style="243"/>
    <col min="11010" max="11010" width="5.6640625" style="243" customWidth="1"/>
    <col min="11011" max="11017" width="12" style="243" customWidth="1"/>
    <col min="11018" max="11018" width="5.6640625" style="243" customWidth="1"/>
    <col min="11019" max="11020" width="10.6640625" style="243" customWidth="1"/>
    <col min="11021" max="11265" width="8.88671875" style="243"/>
    <col min="11266" max="11266" width="5.6640625" style="243" customWidth="1"/>
    <col min="11267" max="11273" width="12" style="243" customWidth="1"/>
    <col min="11274" max="11274" width="5.6640625" style="243" customWidth="1"/>
    <col min="11275" max="11276" width="10.6640625" style="243" customWidth="1"/>
    <col min="11277" max="11521" width="8.88671875" style="243"/>
    <col min="11522" max="11522" width="5.6640625" style="243" customWidth="1"/>
    <col min="11523" max="11529" width="12" style="243" customWidth="1"/>
    <col min="11530" max="11530" width="5.6640625" style="243" customWidth="1"/>
    <col min="11531" max="11532" width="10.6640625" style="243" customWidth="1"/>
    <col min="11533" max="11777" width="8.88671875" style="243"/>
    <col min="11778" max="11778" width="5.6640625" style="243" customWidth="1"/>
    <col min="11779" max="11785" width="12" style="243" customWidth="1"/>
    <col min="11786" max="11786" width="5.6640625" style="243" customWidth="1"/>
    <col min="11787" max="11788" width="10.6640625" style="243" customWidth="1"/>
    <col min="11789" max="12033" width="8.88671875" style="243"/>
    <col min="12034" max="12034" width="5.6640625" style="243" customWidth="1"/>
    <col min="12035" max="12041" width="12" style="243" customWidth="1"/>
    <col min="12042" max="12042" width="5.6640625" style="243" customWidth="1"/>
    <col min="12043" max="12044" width="10.6640625" style="243" customWidth="1"/>
    <col min="12045" max="12289" width="8.88671875" style="243"/>
    <col min="12290" max="12290" width="5.6640625" style="243" customWidth="1"/>
    <col min="12291" max="12297" width="12" style="243" customWidth="1"/>
    <col min="12298" max="12298" width="5.6640625" style="243" customWidth="1"/>
    <col min="12299" max="12300" width="10.6640625" style="243" customWidth="1"/>
    <col min="12301" max="12545" width="8.88671875" style="243"/>
    <col min="12546" max="12546" width="5.6640625" style="243" customWidth="1"/>
    <col min="12547" max="12553" width="12" style="243" customWidth="1"/>
    <col min="12554" max="12554" width="5.6640625" style="243" customWidth="1"/>
    <col min="12555" max="12556" width="10.6640625" style="243" customWidth="1"/>
    <col min="12557" max="12801" width="8.88671875" style="243"/>
    <col min="12802" max="12802" width="5.6640625" style="243" customWidth="1"/>
    <col min="12803" max="12809" width="12" style="243" customWidth="1"/>
    <col min="12810" max="12810" width="5.6640625" style="243" customWidth="1"/>
    <col min="12811" max="12812" width="10.6640625" style="243" customWidth="1"/>
    <col min="12813" max="13057" width="8.88671875" style="243"/>
    <col min="13058" max="13058" width="5.6640625" style="243" customWidth="1"/>
    <col min="13059" max="13065" width="12" style="243" customWidth="1"/>
    <col min="13066" max="13066" width="5.6640625" style="243" customWidth="1"/>
    <col min="13067" max="13068" width="10.6640625" style="243" customWidth="1"/>
    <col min="13069" max="13313" width="8.88671875" style="243"/>
    <col min="13314" max="13314" width="5.6640625" style="243" customWidth="1"/>
    <col min="13315" max="13321" width="12" style="243" customWidth="1"/>
    <col min="13322" max="13322" width="5.6640625" style="243" customWidth="1"/>
    <col min="13323" max="13324" width="10.6640625" style="243" customWidth="1"/>
    <col min="13325" max="13569" width="8.88671875" style="243"/>
    <col min="13570" max="13570" width="5.6640625" style="243" customWidth="1"/>
    <col min="13571" max="13577" width="12" style="243" customWidth="1"/>
    <col min="13578" max="13578" width="5.6640625" style="243" customWidth="1"/>
    <col min="13579" max="13580" width="10.6640625" style="243" customWidth="1"/>
    <col min="13581" max="13825" width="8.88671875" style="243"/>
    <col min="13826" max="13826" width="5.6640625" style="243" customWidth="1"/>
    <col min="13827" max="13833" width="12" style="243" customWidth="1"/>
    <col min="13834" max="13834" width="5.6640625" style="243" customWidth="1"/>
    <col min="13835" max="13836" width="10.6640625" style="243" customWidth="1"/>
    <col min="13837" max="14081" width="8.88671875" style="243"/>
    <col min="14082" max="14082" width="5.6640625" style="243" customWidth="1"/>
    <col min="14083" max="14089" width="12" style="243" customWidth="1"/>
    <col min="14090" max="14090" width="5.6640625" style="243" customWidth="1"/>
    <col min="14091" max="14092" width="10.6640625" style="243" customWidth="1"/>
    <col min="14093" max="14337" width="8.88671875" style="243"/>
    <col min="14338" max="14338" width="5.6640625" style="243" customWidth="1"/>
    <col min="14339" max="14345" width="12" style="243" customWidth="1"/>
    <col min="14346" max="14346" width="5.6640625" style="243" customWidth="1"/>
    <col min="14347" max="14348" width="10.6640625" style="243" customWidth="1"/>
    <col min="14349" max="14593" width="8.88671875" style="243"/>
    <col min="14594" max="14594" width="5.6640625" style="243" customWidth="1"/>
    <col min="14595" max="14601" width="12" style="243" customWidth="1"/>
    <col min="14602" max="14602" width="5.6640625" style="243" customWidth="1"/>
    <col min="14603" max="14604" width="10.6640625" style="243" customWidth="1"/>
    <col min="14605" max="14849" width="8.88671875" style="243"/>
    <col min="14850" max="14850" width="5.6640625" style="243" customWidth="1"/>
    <col min="14851" max="14857" width="12" style="243" customWidth="1"/>
    <col min="14858" max="14858" width="5.6640625" style="243" customWidth="1"/>
    <col min="14859" max="14860" width="10.6640625" style="243" customWidth="1"/>
    <col min="14861" max="15105" width="8.88671875" style="243"/>
    <col min="15106" max="15106" width="5.6640625" style="243" customWidth="1"/>
    <col min="15107" max="15113" width="12" style="243" customWidth="1"/>
    <col min="15114" max="15114" width="5.6640625" style="243" customWidth="1"/>
    <col min="15115" max="15116" width="10.6640625" style="243" customWidth="1"/>
    <col min="15117" max="15361" width="8.88671875" style="243"/>
    <col min="15362" max="15362" width="5.6640625" style="243" customWidth="1"/>
    <col min="15363" max="15369" width="12" style="243" customWidth="1"/>
    <col min="15370" max="15370" width="5.6640625" style="243" customWidth="1"/>
    <col min="15371" max="15372" width="10.6640625" style="243" customWidth="1"/>
    <col min="15373" max="15617" width="8.88671875" style="243"/>
    <col min="15618" max="15618" width="5.6640625" style="243" customWidth="1"/>
    <col min="15619" max="15625" width="12" style="243" customWidth="1"/>
    <col min="15626" max="15626" width="5.6640625" style="243" customWidth="1"/>
    <col min="15627" max="15628" width="10.6640625" style="243" customWidth="1"/>
    <col min="15629" max="15873" width="8.88671875" style="243"/>
    <col min="15874" max="15874" width="5.6640625" style="243" customWidth="1"/>
    <col min="15875" max="15881" width="12" style="243" customWidth="1"/>
    <col min="15882" max="15882" width="5.6640625" style="243" customWidth="1"/>
    <col min="15883" max="15884" width="10.6640625" style="243" customWidth="1"/>
    <col min="15885" max="16129" width="8.88671875" style="243"/>
    <col min="16130" max="16130" width="5.6640625" style="243" customWidth="1"/>
    <col min="16131" max="16137" width="12" style="243" customWidth="1"/>
    <col min="16138" max="16138" width="5.6640625" style="243" customWidth="1"/>
    <col min="16139" max="16140" width="10.6640625" style="243" customWidth="1"/>
    <col min="16141" max="16384" width="8.88671875" style="243"/>
  </cols>
  <sheetData>
    <row r="1" spans="1:18" ht="19.5" customHeight="1">
      <c r="A1" s="240" t="s">
        <v>89</v>
      </c>
      <c r="B1" s="241"/>
      <c r="C1" s="241"/>
      <c r="D1" s="241"/>
      <c r="E1" s="241"/>
      <c r="F1" s="241"/>
      <c r="G1" s="241"/>
      <c r="H1" s="241"/>
      <c r="I1" s="241"/>
      <c r="J1" s="242"/>
    </row>
    <row r="2" spans="1:18" ht="21">
      <c r="A2" s="245" t="s">
        <v>61</v>
      </c>
      <c r="B2" s="246"/>
      <c r="C2" s="246"/>
      <c r="D2" s="246"/>
      <c r="E2" s="246"/>
      <c r="F2" s="246"/>
      <c r="G2" s="246"/>
      <c r="H2" s="246"/>
      <c r="I2" s="246"/>
      <c r="J2" s="247"/>
    </row>
    <row r="3" spans="1:18" ht="15.6">
      <c r="A3" s="248" t="s">
        <v>62</v>
      </c>
      <c r="B3" s="249"/>
      <c r="C3" s="249"/>
      <c r="D3" s="249"/>
      <c r="E3" s="249"/>
      <c r="F3" s="249"/>
      <c r="G3" s="249"/>
      <c r="H3" s="249"/>
      <c r="I3" s="249"/>
      <c r="J3" s="250"/>
    </row>
    <row r="4" spans="1:18" ht="15.6">
      <c r="A4" s="248" t="s">
        <v>63</v>
      </c>
      <c r="B4" s="249"/>
      <c r="C4" s="249"/>
      <c r="D4" s="249"/>
      <c r="E4" s="249"/>
      <c r="F4" s="249"/>
      <c r="G4" s="249"/>
      <c r="H4" s="249"/>
      <c r="I4" s="249"/>
      <c r="J4" s="250"/>
    </row>
    <row r="5" spans="1:18" ht="15.6">
      <c r="A5" s="356" t="s">
        <v>64</v>
      </c>
      <c r="B5" s="357"/>
      <c r="C5" s="357"/>
      <c r="D5" s="357"/>
      <c r="E5" s="357"/>
      <c r="F5" s="357"/>
      <c r="G5" s="357"/>
      <c r="H5" s="357"/>
      <c r="I5" s="357"/>
      <c r="J5" s="358"/>
    </row>
    <row r="6" spans="1:18" ht="21.6" customHeight="1">
      <c r="A6" s="254"/>
      <c r="B6" s="359" t="str">
        <f>Report!B6</f>
        <v>Ras Al Hekma International Airport</v>
      </c>
      <c r="C6" s="359"/>
      <c r="D6" s="359"/>
      <c r="E6" s="359"/>
      <c r="F6" s="256"/>
      <c r="G6" s="256"/>
      <c r="H6" s="255" t="str">
        <f>Report!O6</f>
        <v>File No.5143</v>
      </c>
      <c r="I6" s="255"/>
      <c r="J6" s="257"/>
    </row>
    <row r="7" spans="1:18" ht="20.100000000000001" customHeight="1">
      <c r="A7" s="258"/>
      <c r="B7" s="360" t="str">
        <f>Report!B7</f>
        <v>Project Spec :- Section 31 23 16.33 ( Excavation, Fill and Subgrade)</v>
      </c>
      <c r="C7" s="360"/>
      <c r="D7" s="360"/>
      <c r="E7" s="360"/>
      <c r="F7" s="360"/>
      <c r="G7" s="259"/>
      <c r="H7" s="348" t="str">
        <f>Proctor!I8</f>
        <v>Date: 06/09/2025</v>
      </c>
      <c r="I7" s="348"/>
      <c r="J7" s="261"/>
    </row>
    <row r="8" spans="1:18" ht="20.25" customHeight="1">
      <c r="A8" s="361" t="s">
        <v>90</v>
      </c>
      <c r="B8" s="362"/>
      <c r="C8" s="362"/>
      <c r="D8" s="362"/>
      <c r="E8" s="362"/>
      <c r="F8" s="362"/>
      <c r="G8" s="362"/>
      <c r="H8" s="362"/>
      <c r="I8" s="362"/>
      <c r="J8" s="363"/>
    </row>
    <row r="9" spans="1:18" ht="21" customHeight="1">
      <c r="A9" s="364" t="s">
        <v>66</v>
      </c>
      <c r="B9" s="365"/>
      <c r="C9" s="365"/>
      <c r="D9" s="365"/>
      <c r="E9" s="365"/>
      <c r="F9" s="365"/>
      <c r="G9" s="365"/>
      <c r="H9" s="365"/>
      <c r="I9" s="365"/>
      <c r="J9" s="366"/>
    </row>
    <row r="10" spans="1:18" ht="20.25" customHeight="1">
      <c r="A10" s="367" t="s">
        <v>91</v>
      </c>
      <c r="B10" s="368"/>
      <c r="C10" s="368"/>
      <c r="D10" s="368"/>
      <c r="E10" s="368"/>
      <c r="F10" s="368"/>
      <c r="G10" s="368"/>
      <c r="H10" s="368"/>
      <c r="I10" s="368"/>
      <c r="J10" s="369"/>
    </row>
    <row r="11" spans="1:18" ht="24.9" customHeight="1">
      <c r="A11" s="271"/>
      <c r="B11" s="272" t="s">
        <v>43</v>
      </c>
      <c r="C11" s="272"/>
      <c r="D11" s="352">
        <f>Report!F11</f>
        <v>45900</v>
      </c>
      <c r="E11" s="352"/>
      <c r="G11" s="351" t="s">
        <v>88</v>
      </c>
      <c r="H11" s="351"/>
      <c r="I11" s="352">
        <f>Report!F11+2</f>
        <v>45902</v>
      </c>
      <c r="J11" s="355"/>
      <c r="K11" s="346"/>
      <c r="L11" s="344"/>
      <c r="M11" s="344"/>
      <c r="N11" s="344"/>
      <c r="O11" s="344"/>
      <c r="P11" s="344"/>
      <c r="Q11" s="344"/>
      <c r="R11" s="344"/>
    </row>
    <row r="12" spans="1:18" s="276" customFormat="1" ht="24.9" customHeight="1">
      <c r="A12" s="273"/>
      <c r="B12" s="274" t="s">
        <v>44</v>
      </c>
      <c r="C12" s="274"/>
      <c r="D12" s="274" t="str">
        <f>Report!F12</f>
        <v>Saleh Swiker Soil 70% + Swiker Sand 30%</v>
      </c>
      <c r="E12" s="274"/>
      <c r="F12" s="274"/>
      <c r="G12" s="274"/>
      <c r="H12" s="353"/>
      <c r="I12" s="353"/>
      <c r="J12" s="275"/>
      <c r="K12" s="347"/>
      <c r="L12" s="343"/>
      <c r="M12" s="343"/>
      <c r="N12" s="343"/>
      <c r="O12" s="343"/>
      <c r="P12" s="343"/>
      <c r="Q12" s="343"/>
      <c r="R12" s="343"/>
    </row>
    <row r="13" spans="1:18" s="276" customFormat="1" ht="24.9" customHeight="1">
      <c r="A13" s="273"/>
      <c r="B13" s="272" t="s">
        <v>48</v>
      </c>
      <c r="C13" s="272"/>
      <c r="D13" s="272"/>
      <c r="E13" s="351" t="str">
        <f>Report!I13</f>
        <v>Fill / SM</v>
      </c>
      <c r="F13" s="351"/>
      <c r="G13" s="354"/>
      <c r="H13" s="354"/>
      <c r="I13" s="354"/>
      <c r="J13" s="275"/>
      <c r="K13" s="347"/>
      <c r="L13" s="343"/>
      <c r="M13" s="343"/>
      <c r="N13" s="343"/>
      <c r="O13" s="343"/>
      <c r="P13" s="343"/>
      <c r="Q13" s="343"/>
      <c r="R13" s="343"/>
    </row>
    <row r="14" spans="1:18" s="276" customFormat="1" ht="24.9" customHeight="1">
      <c r="A14" s="273"/>
      <c r="B14" s="277" t="s">
        <v>32</v>
      </c>
      <c r="C14" s="278">
        <f>Report!E14</f>
        <v>3</v>
      </c>
      <c r="D14" s="277"/>
      <c r="E14" s="277"/>
      <c r="F14" s="279"/>
      <c r="G14" s="279"/>
      <c r="H14" s="279"/>
      <c r="I14" s="279"/>
      <c r="J14" s="275"/>
      <c r="K14" s="347"/>
      <c r="L14" s="343"/>
      <c r="M14" s="343"/>
      <c r="N14" s="344"/>
      <c r="O14" s="343"/>
      <c r="P14" s="343"/>
      <c r="Q14" s="343"/>
      <c r="R14" s="343"/>
    </row>
    <row r="15" spans="1:18" s="276" customFormat="1" ht="24.9" customHeight="1" thickBot="1">
      <c r="A15" s="273"/>
      <c r="B15" s="280" t="s">
        <v>33</v>
      </c>
      <c r="C15" s="278">
        <f>Report!E15</f>
        <v>50</v>
      </c>
      <c r="D15" s="277"/>
      <c r="E15" s="280"/>
      <c r="F15" s="279"/>
      <c r="G15" s="279"/>
      <c r="H15" s="279"/>
      <c r="I15" s="279"/>
      <c r="J15" s="275"/>
      <c r="K15" s="347"/>
      <c r="L15" s="343"/>
      <c r="M15" s="343"/>
      <c r="N15" s="343"/>
      <c r="O15" s="343"/>
      <c r="P15" s="343"/>
      <c r="Q15" s="343"/>
      <c r="R15" s="343"/>
    </row>
    <row r="16" spans="1:18" ht="23.4" customHeight="1" thickBot="1">
      <c r="A16" s="273"/>
      <c r="B16" s="316"/>
      <c r="C16" s="370" t="s">
        <v>92</v>
      </c>
      <c r="D16" s="371"/>
      <c r="E16" s="372"/>
      <c r="F16" s="373">
        <v>10</v>
      </c>
      <c r="G16" s="374">
        <v>25</v>
      </c>
      <c r="H16" s="375">
        <v>65</v>
      </c>
      <c r="I16" s="376" t="s">
        <v>93</v>
      </c>
      <c r="J16" s="377"/>
      <c r="M16" s="276"/>
      <c r="N16" s="276"/>
      <c r="O16" s="276"/>
      <c r="P16" s="276"/>
      <c r="Q16" s="276"/>
      <c r="R16" s="276"/>
    </row>
    <row r="17" spans="1:12" ht="23.4" customHeight="1">
      <c r="A17" s="273"/>
      <c r="B17" s="316"/>
      <c r="C17" s="378" t="s">
        <v>94</v>
      </c>
      <c r="D17" s="379"/>
      <c r="E17" s="380"/>
      <c r="F17" s="381">
        <f>'10 Blows'!I35</f>
        <v>1.964</v>
      </c>
      <c r="G17" s="382">
        <f>'25 Blows'!I35</f>
        <v>1.996</v>
      </c>
      <c r="H17" s="383">
        <f>'65 Blows'!I35</f>
        <v>2.15</v>
      </c>
      <c r="I17" s="384" t="s">
        <v>34</v>
      </c>
      <c r="J17" s="377"/>
    </row>
    <row r="18" spans="1:12" ht="23.4" customHeight="1">
      <c r="A18" s="273"/>
      <c r="B18" s="316"/>
      <c r="C18" s="385" t="s">
        <v>95</v>
      </c>
      <c r="D18" s="386"/>
      <c r="E18" s="387"/>
      <c r="F18" s="388">
        <f>'10 Blows'!I33</f>
        <v>34.155346188888885</v>
      </c>
      <c r="G18" s="389">
        <f>'25 Blows'!I33</f>
        <v>40.584587824444448</v>
      </c>
      <c r="H18" s="390">
        <f>'65 Blows'!I33</f>
        <v>55.251295305555573</v>
      </c>
      <c r="I18" s="391" t="s">
        <v>34</v>
      </c>
      <c r="J18" s="377"/>
    </row>
    <row r="19" spans="1:12" ht="23.4" customHeight="1" thickBot="1">
      <c r="A19" s="273"/>
      <c r="B19" s="316"/>
      <c r="C19" s="392" t="s">
        <v>96</v>
      </c>
      <c r="D19" s="393"/>
      <c r="E19" s="394"/>
      <c r="F19" s="395">
        <f>'10 Blows'!I34</f>
        <v>0</v>
      </c>
      <c r="G19" s="396">
        <f>'25 Blows'!I34</f>
        <v>0</v>
      </c>
      <c r="H19" s="397">
        <f>'65 Blows'!I34</f>
        <v>0</v>
      </c>
      <c r="I19" s="398" t="s">
        <v>97</v>
      </c>
      <c r="J19" s="377"/>
    </row>
    <row r="20" spans="1:12" ht="16.5" customHeight="1">
      <c r="A20" s="281" t="s">
        <v>75</v>
      </c>
      <c r="J20" s="284"/>
    </row>
    <row r="21" spans="1:12" ht="20.25" customHeight="1">
      <c r="A21" s="281"/>
      <c r="J21" s="287"/>
    </row>
    <row r="22" spans="1:12" ht="20.25" customHeight="1">
      <c r="A22" s="281"/>
      <c r="J22" s="289"/>
    </row>
    <row r="23" spans="1:12" ht="20.25" customHeight="1">
      <c r="A23" s="281"/>
      <c r="G23" s="399"/>
      <c r="H23" s="400"/>
      <c r="I23" s="401"/>
      <c r="J23" s="289"/>
    </row>
    <row r="24" spans="1:12" ht="20.25" customHeight="1">
      <c r="A24" s="281"/>
      <c r="G24" s="399"/>
      <c r="H24" s="400"/>
      <c r="I24" s="401"/>
      <c r="J24" s="298"/>
    </row>
    <row r="25" spans="1:12" ht="20.25" customHeight="1">
      <c r="A25" s="281"/>
      <c r="G25" s="399"/>
      <c r="H25" s="400"/>
      <c r="I25" s="401"/>
      <c r="J25" s="298"/>
    </row>
    <row r="26" spans="1:12" ht="20.25" customHeight="1">
      <c r="A26" s="281"/>
      <c r="G26" s="399"/>
      <c r="H26" s="400"/>
      <c r="I26" s="401"/>
      <c r="J26" s="298"/>
    </row>
    <row r="27" spans="1:12" ht="20.25" customHeight="1">
      <c r="A27" s="281"/>
      <c r="G27" s="399"/>
      <c r="H27" s="400"/>
      <c r="I27" s="401"/>
      <c r="J27" s="298"/>
    </row>
    <row r="28" spans="1:12" ht="20.25" customHeight="1">
      <c r="A28" s="281"/>
      <c r="G28" s="399"/>
      <c r="H28" s="400"/>
      <c r="I28" s="401"/>
      <c r="J28" s="298"/>
    </row>
    <row r="29" spans="1:12" ht="20.25" customHeight="1">
      <c r="A29" s="281"/>
      <c r="G29" s="399"/>
      <c r="H29" s="400"/>
      <c r="I29" s="401"/>
      <c r="J29" s="298"/>
      <c r="K29" s="402"/>
      <c r="L29" s="403"/>
    </row>
    <row r="30" spans="1:12" ht="20.25" customHeight="1">
      <c r="A30" s="281"/>
      <c r="G30" s="399"/>
      <c r="H30" s="400"/>
      <c r="I30" s="401"/>
      <c r="J30" s="298"/>
      <c r="K30" s="402"/>
      <c r="L30" s="403"/>
    </row>
    <row r="31" spans="1:12" ht="20.25" customHeight="1">
      <c r="A31" s="281"/>
      <c r="G31" s="399"/>
      <c r="H31" s="400"/>
      <c r="I31" s="401"/>
      <c r="J31" s="298"/>
      <c r="K31" s="402"/>
    </row>
    <row r="32" spans="1:12" ht="15.75" customHeight="1">
      <c r="A32" s="300" t="s">
        <v>75</v>
      </c>
      <c r="J32" s="284"/>
      <c r="K32" s="402"/>
      <c r="L32" s="403"/>
    </row>
    <row r="33" spans="1:16" ht="14.25" customHeight="1" thickBot="1">
      <c r="A33" s="301"/>
      <c r="B33" s="404"/>
      <c r="C33" s="404"/>
      <c r="D33" s="404"/>
      <c r="E33" s="404"/>
      <c r="F33" s="404"/>
      <c r="G33" s="404"/>
      <c r="H33" s="404"/>
      <c r="I33" s="405"/>
      <c r="J33" s="303"/>
      <c r="K33" s="338"/>
    </row>
    <row r="34" spans="1:16" ht="24" customHeight="1" thickBot="1">
      <c r="A34" s="300"/>
      <c r="B34" s="406" t="s">
        <v>98</v>
      </c>
      <c r="C34" s="407"/>
      <c r="D34" s="408"/>
      <c r="E34" s="409">
        <f>Proctor!F36</f>
        <v>2.1179999999999999</v>
      </c>
      <c r="F34" s="410" t="s">
        <v>99</v>
      </c>
      <c r="G34" s="411"/>
      <c r="H34" s="412"/>
      <c r="I34" s="413">
        <f>Proctor!F37</f>
        <v>6.6</v>
      </c>
      <c r="J34" s="284"/>
      <c r="K34" s="338"/>
    </row>
    <row r="35" spans="1:16" ht="14.25" customHeight="1">
      <c r="A35" s="300" t="s">
        <v>75</v>
      </c>
      <c r="B35" s="414" t="s">
        <v>100</v>
      </c>
      <c r="C35" s="415"/>
      <c r="D35" s="415"/>
      <c r="E35" s="415"/>
      <c r="F35" s="415"/>
      <c r="G35" s="415"/>
      <c r="H35" s="416"/>
      <c r="I35" s="417">
        <v>53</v>
      </c>
      <c r="J35" s="284"/>
      <c r="K35" s="338"/>
    </row>
    <row r="36" spans="1:16" ht="24" customHeight="1" thickBot="1">
      <c r="A36" s="300"/>
      <c r="B36" s="418"/>
      <c r="C36" s="419"/>
      <c r="D36" s="419"/>
      <c r="E36" s="419"/>
      <c r="F36" s="419"/>
      <c r="G36" s="419"/>
      <c r="H36" s="420"/>
      <c r="I36" s="421"/>
      <c r="J36" s="284"/>
      <c r="K36" s="338"/>
    </row>
    <row r="37" spans="1:16" ht="33" customHeight="1" thickBot="1">
      <c r="A37" s="281"/>
      <c r="B37" s="422" t="s">
        <v>93</v>
      </c>
      <c r="C37" s="423"/>
      <c r="D37" s="423"/>
      <c r="E37" s="423"/>
      <c r="F37" s="423"/>
      <c r="G37" s="423"/>
      <c r="H37" s="424"/>
      <c r="I37" s="425" t="s">
        <v>101</v>
      </c>
      <c r="J37" s="284"/>
      <c r="K37" s="338"/>
    </row>
    <row r="38" spans="1:16" ht="33" customHeight="1">
      <c r="A38" s="281"/>
      <c r="B38" s="326" t="s">
        <v>102</v>
      </c>
      <c r="C38" s="326"/>
      <c r="D38" s="326"/>
      <c r="E38" s="326"/>
      <c r="F38" s="326"/>
      <c r="G38" s="326"/>
      <c r="H38" s="326"/>
      <c r="I38" s="326"/>
      <c r="J38" s="284"/>
      <c r="K38" s="338"/>
    </row>
    <row r="39" spans="1:16" ht="20.25" customHeight="1">
      <c r="A39" s="426"/>
      <c r="B39" s="427" t="s">
        <v>22</v>
      </c>
      <c r="C39" s="316"/>
      <c r="D39" s="316"/>
      <c r="E39" s="316"/>
      <c r="F39" s="316"/>
      <c r="J39" s="284"/>
      <c r="K39" s="338"/>
    </row>
    <row r="40" spans="1:16" ht="15.75" customHeight="1">
      <c r="A40" s="428"/>
      <c r="B40" s="429" t="s">
        <v>103</v>
      </c>
      <c r="C40" s="429"/>
      <c r="D40" s="429"/>
      <c r="E40" s="429"/>
      <c r="F40" s="429"/>
      <c r="G40" s="429"/>
      <c r="H40" s="429"/>
      <c r="I40" s="429"/>
      <c r="J40" s="430"/>
      <c r="K40" s="431"/>
      <c r="L40" s="431"/>
      <c r="M40" s="431"/>
      <c r="N40" s="431"/>
      <c r="O40" s="431"/>
      <c r="P40" s="431"/>
    </row>
    <row r="41" spans="1:16" ht="15.75" customHeight="1">
      <c r="A41" s="432"/>
      <c r="B41" s="433"/>
      <c r="C41" s="433"/>
      <c r="D41" s="433"/>
      <c r="E41" s="433"/>
      <c r="F41" s="433"/>
      <c r="G41" s="433"/>
      <c r="H41" s="433"/>
      <c r="I41" s="433"/>
      <c r="J41" s="434"/>
      <c r="K41" s="433"/>
      <c r="L41" s="433"/>
      <c r="M41" s="433"/>
      <c r="N41" s="433"/>
      <c r="O41" s="433"/>
      <c r="P41" s="433"/>
    </row>
    <row r="42" spans="1:16" ht="4.5" customHeight="1">
      <c r="A42" s="301"/>
      <c r="B42" s="435"/>
      <c r="C42" s="436"/>
      <c r="D42" s="436"/>
      <c r="E42" s="436"/>
      <c r="F42" s="436"/>
      <c r="G42" s="436"/>
      <c r="H42" s="436"/>
      <c r="I42" s="436"/>
      <c r="J42" s="437"/>
      <c r="K42" s="338"/>
    </row>
    <row r="43" spans="1:16" ht="21" customHeight="1">
      <c r="A43" s="281"/>
      <c r="B43" s="438" t="str">
        <f>Report!B40</f>
        <v>Prepared by : Eng. Alaa Hassan</v>
      </c>
      <c r="C43" s="438"/>
      <c r="D43" s="438"/>
      <c r="H43" s="439" t="str">
        <f>Report!K40</f>
        <v>Dept. Manager : Eng. Reda El Raheb</v>
      </c>
      <c r="I43" s="439"/>
      <c r="J43" s="440"/>
    </row>
    <row r="44" spans="1:16" ht="21" customHeight="1">
      <c r="A44" s="281"/>
      <c r="B44" s="326"/>
      <c r="J44" s="284"/>
    </row>
    <row r="45" spans="1:16" ht="21" customHeight="1" thickBot="1">
      <c r="A45" s="327"/>
      <c r="B45" s="328"/>
      <c r="C45" s="328"/>
      <c r="D45" s="328"/>
      <c r="E45" s="328"/>
      <c r="F45" s="328"/>
      <c r="G45" s="328"/>
      <c r="H45" s="329" t="s">
        <v>104</v>
      </c>
      <c r="I45" s="329"/>
      <c r="J45" s="330"/>
    </row>
  </sheetData>
  <mergeCells count="39">
    <mergeCell ref="B43:D43"/>
    <mergeCell ref="H43:J43"/>
    <mergeCell ref="I35:I36"/>
    <mergeCell ref="B37:H37"/>
    <mergeCell ref="B40:I40"/>
    <mergeCell ref="B6:E6"/>
    <mergeCell ref="H6:I6"/>
    <mergeCell ref="B7:F7"/>
    <mergeCell ref="H7:I7"/>
    <mergeCell ref="B11:C11"/>
    <mergeCell ref="D11:E11"/>
    <mergeCell ref="G11:H11"/>
    <mergeCell ref="G29:G31"/>
    <mergeCell ref="H29:H31"/>
    <mergeCell ref="B33:H33"/>
    <mergeCell ref="B34:D34"/>
    <mergeCell ref="F34:H34"/>
    <mergeCell ref="B35:H36"/>
    <mergeCell ref="C18:E18"/>
    <mergeCell ref="C19:E19"/>
    <mergeCell ref="G23:G25"/>
    <mergeCell ref="H23:H25"/>
    <mergeCell ref="G26:G28"/>
    <mergeCell ref="H26:H28"/>
    <mergeCell ref="C16:E16"/>
    <mergeCell ref="C17:E17"/>
    <mergeCell ref="B12:C12"/>
    <mergeCell ref="D12:G12"/>
    <mergeCell ref="B13:D13"/>
    <mergeCell ref="E13:F13"/>
    <mergeCell ref="A8:J8"/>
    <mergeCell ref="A9:J9"/>
    <mergeCell ref="A10:J10"/>
    <mergeCell ref="I11:J11"/>
    <mergeCell ref="A1:J1"/>
    <mergeCell ref="A2:J2"/>
    <mergeCell ref="A3:J3"/>
    <mergeCell ref="A4:J4"/>
    <mergeCell ref="A5:J5"/>
  </mergeCells>
  <printOptions horizontalCentered="1" verticalCentered="1"/>
  <pageMargins left="0" right="0" top="0" bottom="0" header="0" footer="0"/>
  <pageSetup paperSize="9" scale="81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Report</vt:lpstr>
      <vt:lpstr>PI</vt:lpstr>
      <vt:lpstr>Proctor</vt:lpstr>
      <vt:lpstr>10 Blows</vt:lpstr>
      <vt:lpstr>25 Blows</vt:lpstr>
      <vt:lpstr>65 Blows</vt:lpstr>
      <vt:lpstr>Bearing Ratio</vt:lpstr>
      <vt:lpstr>'10 Blows'!Print_Area</vt:lpstr>
      <vt:lpstr>'25 Blows'!Print_Area</vt:lpstr>
      <vt:lpstr>'65 Blows'!Print_Area</vt:lpstr>
      <vt:lpstr>'Bearing Ratio'!Print_Area</vt:lpstr>
      <vt:lpstr>PI!Print_Area</vt:lpstr>
      <vt:lpstr>Proctor!Print_Area</vt:lpstr>
      <vt:lpstr>Report!Print_Area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</dc:creator>
  <cp:lastModifiedBy>mohamed hamed</cp:lastModifiedBy>
  <cp:lastPrinted>2025-10-18T06:56:10Z</cp:lastPrinted>
  <dcterms:created xsi:type="dcterms:W3CDTF">2010-09-24T16:37:05Z</dcterms:created>
  <dcterms:modified xsi:type="dcterms:W3CDTF">2025-10-18T07:39:40Z</dcterms:modified>
</cp:coreProperties>
</file>