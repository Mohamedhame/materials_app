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graming_lang\web\projects\materials\project1\"/>
    </mc:Choice>
  </mc:AlternateContent>
  <xr:revisionPtr revIDLastSave="0" documentId="13_ncr:1_{B3644275-62C8-4F88-9001-23D601B81D62}" xr6:coauthVersionLast="47" xr6:coauthVersionMax="47" xr10:uidLastSave="{00000000-0000-0000-0000-000000000000}"/>
  <bookViews>
    <workbookView xWindow="-108" yWindow="-108" windowWidth="23256" windowHeight="12576" tabRatio="601" activeTab="2" xr2:uid="{00000000-000D-0000-FFFF-FFFF00000000}"/>
  </bookViews>
  <sheets>
    <sheet name="Report" sheetId="4" r:id="rId1"/>
    <sheet name="PI" sheetId="6" r:id="rId2"/>
    <sheet name="Proctor" sheetId="7" r:id="rId3"/>
  </sheets>
  <definedNames>
    <definedName name="_xlnm.Print_Area" localSheetId="1">PI!$A$1:$K$26</definedName>
    <definedName name="_xlnm.Print_Area" localSheetId="2">Proctor!$A$1:$J$41</definedName>
    <definedName name="_xlnm.Print_Area" localSheetId="0">Report!$A$1:$Q$41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5" i="7" l="1"/>
  <c r="G44" i="7"/>
  <c r="F44" i="7"/>
  <c r="H45" i="7"/>
  <c r="F45" i="7"/>
  <c r="P7" i="4" l="1"/>
  <c r="G40" i="7"/>
  <c r="B40" i="7"/>
  <c r="F13" i="7"/>
  <c r="E12" i="7"/>
  <c r="F11" i="7"/>
  <c r="E15" i="7"/>
  <c r="E14" i="7"/>
  <c r="H19" i="7"/>
  <c r="F19" i="7" l="1"/>
  <c r="E19" i="7"/>
  <c r="G19" i="7"/>
  <c r="F12" i="6" l="1"/>
  <c r="E11" i="6"/>
  <c r="B7" i="6"/>
  <c r="J7" i="6"/>
  <c r="I16" i="4" l="1"/>
  <c r="E16" i="4"/>
  <c r="I17" i="6" l="1"/>
  <c r="C17" i="6"/>
  <c r="D14" i="6"/>
  <c r="D13" i="6"/>
  <c r="C14" i="6"/>
  <c r="C13" i="6"/>
  <c r="B22" i="6" l="1"/>
  <c r="G25" i="6"/>
  <c r="A25" i="6"/>
  <c r="C12" i="6"/>
  <c r="C11" i="6"/>
  <c r="I7" i="6"/>
  <c r="C10" i="6" l="1"/>
  <c r="I6" i="6" l="1"/>
  <c r="E17" i="6"/>
</calcChain>
</file>

<file path=xl/sharedStrings.xml><?xml version="1.0" encoding="utf-8"?>
<sst xmlns="http://schemas.openxmlformats.org/spreadsheetml/2006/main" count="262" uniqueCount="62">
  <si>
    <t>Result</t>
  </si>
  <si>
    <t>Percentage Passing (%)</t>
  </si>
  <si>
    <t>Opening Size (mm)</t>
  </si>
  <si>
    <t>Atterberg Limits:</t>
  </si>
  <si>
    <t>L.L. (%):</t>
  </si>
  <si>
    <t>P.L.(%):</t>
  </si>
  <si>
    <t>P.I. (%):</t>
  </si>
  <si>
    <t>ARDAMAN</t>
  </si>
  <si>
    <t>MATERIALS AND CONSULTING TESTING</t>
  </si>
  <si>
    <t>25 Ashgar City Compound Maadi - Cairo ,Egypt</t>
  </si>
  <si>
    <t>S.A.E</t>
  </si>
  <si>
    <t>Tel : 02-27468647 - 01006030248</t>
  </si>
  <si>
    <t>Ras Al Hekma International Airport</t>
  </si>
  <si>
    <t>Plasticity Index 
(%)</t>
  </si>
  <si>
    <t>Plastic Limit 
(%)</t>
  </si>
  <si>
    <t>Liquid Limit 
(%)</t>
  </si>
  <si>
    <t>Sample Identification No.</t>
  </si>
  <si>
    <r>
      <t xml:space="preserve">Source of the sample : </t>
    </r>
    <r>
      <rPr>
        <i/>
        <sz val="12"/>
        <color indexed="8"/>
        <rFont val="Times New Roman"/>
        <family val="1"/>
      </rPr>
      <t xml:space="preserve">Excavated Materials from Site </t>
    </r>
  </si>
  <si>
    <t>LIQUID LIMIT , PLASTIC LIMIT , AND PLASTICITY INDEX OF SOILS</t>
  </si>
  <si>
    <t>MATERIALS AND CONSTTRUCTION TESTING</t>
  </si>
  <si>
    <t>ARDAMAN Split</t>
  </si>
  <si>
    <t>Project : Ras Al Hekma International Airport</t>
  </si>
  <si>
    <t>Result:</t>
  </si>
  <si>
    <t>N.P</t>
  </si>
  <si>
    <t xml:space="preserve"> STANDARD TEST METHODS FOR PARTICLE SIZE DISTRIBUTION OF SOILS USING SIEVE ANALYSIS ACCORDING TO ASTM D6913 &amp;</t>
  </si>
  <si>
    <t xml:space="preserve"> STANDARD TEST METHODS FOR DETERMINING THE AMOUNT OF MATERIAL FINER THAN 75MM SIEVE IN SOILS BY WASHING ACCORDING TO ASTM D1140</t>
  </si>
  <si>
    <t>Project Spec :- Section 31 23 16.33 ( Excavation, Fill and Subgrade)</t>
  </si>
  <si>
    <t>Dept. Manager : Eng. Reda El Raheb</t>
  </si>
  <si>
    <t>ACCORDING TO ASTM D 4318</t>
  </si>
  <si>
    <t>Specification limit</t>
  </si>
  <si>
    <t>Prepared by : Eng. Alaa Hassan</t>
  </si>
  <si>
    <t>The sample complies with the project specifications outlined in Section 31 23 16.33, Part 2, Item 2.1.B regarding suitable materials used for the construction of fill under pavements.</t>
  </si>
  <si>
    <t xml:space="preserve">Stockpile : </t>
  </si>
  <si>
    <t xml:space="preserve">Sample No: </t>
  </si>
  <si>
    <t>Not Specified</t>
  </si>
  <si>
    <t>Quantity :</t>
  </si>
  <si>
    <t>To</t>
  </si>
  <si>
    <t>Specification limit (%)</t>
  </si>
  <si>
    <t>Max 30%</t>
  </si>
  <si>
    <t>Max 7%</t>
  </si>
  <si>
    <t>Soil Classification According to ASTM D2487 : Silty Sand with Gravel (SM)                                                                     Coefficient of uniformity ( Cu ): ( N/A ) ( D10 not available )</t>
  </si>
  <si>
    <r>
      <t>m</t>
    </r>
    <r>
      <rPr>
        <b/>
        <i/>
        <vertAlign val="superscript"/>
        <sz val="12"/>
        <color rgb="FF000000"/>
        <rFont val="Times New Roman"/>
        <family val="1"/>
      </rPr>
      <t>3</t>
    </r>
  </si>
  <si>
    <t>File No.5143</t>
  </si>
  <si>
    <t>Sample delivery date:</t>
  </si>
  <si>
    <t xml:space="preserve">Source of material :- </t>
  </si>
  <si>
    <t>Saleh Swiker Soil 70% + Swiker Sand 30%</t>
  </si>
  <si>
    <t>Date :</t>
  </si>
  <si>
    <t>.</t>
  </si>
  <si>
    <t xml:space="preserve">Description of the Tested Materials :- </t>
  </si>
  <si>
    <t>Fill / SM</t>
  </si>
  <si>
    <t>ARDAMAN SPLIT</t>
  </si>
  <si>
    <t xml:space="preserve">MOISTURE DENSITY RELATIONSHIP OF SOIL </t>
  </si>
  <si>
    <t>According To ASTM D1557, Procedure 'C'.</t>
  </si>
  <si>
    <r>
      <t>Wet Unit Weight, gm/cm</t>
    </r>
    <r>
      <rPr>
        <b/>
        <vertAlign val="superscript"/>
        <sz val="10"/>
        <color indexed="8"/>
        <rFont val="Times New Roman"/>
        <family val="1"/>
      </rPr>
      <t>3</t>
    </r>
  </si>
  <si>
    <t>Water Content, %</t>
  </si>
  <si>
    <t>Dry Unit Weight, gm/cm3</t>
  </si>
  <si>
    <t>Maximum dry density =</t>
  </si>
  <si>
    <r>
      <t>g/cm</t>
    </r>
    <r>
      <rPr>
        <b/>
        <vertAlign val="superscript"/>
        <sz val="12"/>
        <color rgb="FF000000"/>
        <rFont val="Times New Roman"/>
        <family val="1"/>
      </rPr>
      <t>3</t>
    </r>
  </si>
  <si>
    <t xml:space="preserve">Optimum moisture content = </t>
  </si>
  <si>
    <t>%</t>
  </si>
  <si>
    <t>File No.: 5143</t>
  </si>
  <si>
    <t>Date :08/09/2025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</si>
</sst>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_-&quot;ر.س.&quot;\ * #,##0.00_-;_-&quot;ر.س.&quot;\ * #,##0.00\-;_-&quot;ر.س.&quot;\ * &quot;-&quot;??_-;_-@_-"/>
    <numFmt numFmtId="167" formatCode="dd/mm/yyyy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i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b/>
      <i/>
      <u/>
      <sz val="14"/>
      <color indexed="8"/>
      <name val="Times New Roman"/>
      <family val="1"/>
    </font>
    <font>
      <sz val="8"/>
      <name val="Calibri"/>
      <family val="2"/>
    </font>
    <font>
      <b/>
      <i/>
      <u/>
      <sz val="12"/>
      <color indexed="8"/>
      <name val="Times New Roman"/>
      <family val="1"/>
    </font>
    <font>
      <b/>
      <i/>
      <sz val="11"/>
      <color indexed="8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erif Euro"/>
      <family val="1"/>
      <charset val="178"/>
    </font>
    <font>
      <b/>
      <i/>
      <sz val="12"/>
      <name val="Times New Roman"/>
      <family val="1"/>
    </font>
    <font>
      <b/>
      <i/>
      <sz val="12"/>
      <name val="Times New Roman"/>
      <family val="1"/>
      <charset val="178"/>
    </font>
    <font>
      <b/>
      <i/>
      <sz val="13"/>
      <name val="Times New Roman"/>
      <family val="1"/>
      <charset val="178"/>
    </font>
    <font>
      <sz val="12"/>
      <name val="MS Serif Euro"/>
      <family val="1"/>
      <charset val="178"/>
    </font>
    <font>
      <sz val="11"/>
      <name val="MS Serif Euro"/>
      <family val="1"/>
      <charset val="178"/>
    </font>
    <font>
      <b/>
      <u/>
      <sz val="12"/>
      <name val="Times New Roman"/>
      <family val="1"/>
    </font>
    <font>
      <b/>
      <i/>
      <sz val="11"/>
      <name val="Times New Roman"/>
      <family val="1"/>
      <charset val="178"/>
    </font>
    <font>
      <b/>
      <i/>
      <sz val="10"/>
      <name val="Times New Roman"/>
      <family val="1"/>
      <charset val="178"/>
    </font>
    <font>
      <i/>
      <u/>
      <sz val="12"/>
      <name val="Times New Roman"/>
      <family val="1"/>
      <charset val="178"/>
    </font>
    <font>
      <b/>
      <i/>
      <sz val="10"/>
      <name val="Times New Roman"/>
      <family val="1"/>
    </font>
    <font>
      <b/>
      <i/>
      <u/>
      <sz val="12"/>
      <name val="Times New Roman"/>
      <family val="1"/>
      <charset val="178"/>
    </font>
    <font>
      <b/>
      <sz val="12"/>
      <name val="MS Serif Euro"/>
      <family val="1"/>
      <charset val="178"/>
    </font>
    <font>
      <b/>
      <i/>
      <sz val="12"/>
      <color indexed="8"/>
      <name val="Times New Roman"/>
      <family val="1"/>
      <charset val="178"/>
    </font>
    <font>
      <i/>
      <sz val="12"/>
      <color indexed="8"/>
      <name val="Times New Roman"/>
      <family val="1"/>
    </font>
    <font>
      <sz val="12"/>
      <name val="Arial"/>
      <family val="2"/>
    </font>
    <font>
      <i/>
      <sz val="10"/>
      <name val="MS Serif Euro"/>
      <family val="1"/>
      <charset val="178"/>
    </font>
    <font>
      <b/>
      <i/>
      <u/>
      <sz val="13.5"/>
      <name val="MS Serif Euro"/>
      <family val="1"/>
      <charset val="178"/>
    </font>
    <font>
      <b/>
      <sz val="12"/>
      <color indexed="8"/>
      <name val="Times New Roman"/>
      <family val="1"/>
    </font>
    <font>
      <b/>
      <sz val="10"/>
      <name val="Times New Roman"/>
      <family val="1"/>
      <charset val="178"/>
    </font>
    <font>
      <b/>
      <sz val="11"/>
      <name val="MS Serif Euro"/>
    </font>
    <font>
      <b/>
      <sz val="12"/>
      <name val="Times New Roman"/>
      <family val="1"/>
      <charset val="178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  <charset val="178"/>
    </font>
    <font>
      <b/>
      <sz val="11"/>
      <color indexed="8"/>
      <name val="Times New Roman"/>
      <family val="1"/>
      <charset val="178"/>
    </font>
    <font>
      <b/>
      <i/>
      <vertAlign val="superscript"/>
      <sz val="12"/>
      <color rgb="FF000000"/>
      <name val="Times New Roman"/>
      <family val="1"/>
    </font>
    <font>
      <b/>
      <u/>
      <sz val="14"/>
      <name val="Times New Roman"/>
      <family val="1"/>
      <charset val="178"/>
    </font>
    <font>
      <sz val="10"/>
      <name val="Times New Roman"/>
      <family val="1"/>
      <charset val="178"/>
    </font>
    <font>
      <b/>
      <u/>
      <sz val="12"/>
      <color indexed="8"/>
      <name val="Times New Roman"/>
      <family val="1"/>
    </font>
    <font>
      <b/>
      <sz val="12"/>
      <name val="Cambria"/>
      <family val="1"/>
      <charset val="178"/>
      <scheme val="major"/>
    </font>
    <font>
      <b/>
      <vertAlign val="superscript"/>
      <sz val="10"/>
      <color indexed="8"/>
      <name val="Times New Roman"/>
      <family val="1"/>
    </font>
    <font>
      <b/>
      <vertAlign val="superscript"/>
      <sz val="12"/>
      <color rgb="FF000000"/>
      <name val="Times New Roman"/>
      <family val="1"/>
    </font>
    <font>
      <b/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0" fontId="8" fillId="0" borderId="0"/>
    <xf numFmtId="0" fontId="11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240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165" fontId="7" fillId="0" borderId="9" xfId="0" applyNumberFormat="1" applyFont="1" applyBorder="1" applyAlignment="1">
      <alignment horizontal="center" vertical="center" wrapText="1"/>
    </xf>
    <xf numFmtId="165" fontId="7" fillId="0" borderId="5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2" fontId="7" fillId="0" borderId="9" xfId="0" applyNumberFormat="1" applyFont="1" applyBorder="1" applyAlignment="1">
      <alignment horizontal="center" vertical="center" wrapText="1"/>
    </xf>
    <xf numFmtId="0" fontId="11" fillId="0" borderId="0" xfId="2"/>
    <xf numFmtId="0" fontId="12" fillId="0" borderId="0" xfId="2" applyFont="1"/>
    <xf numFmtId="166" fontId="14" fillId="0" borderId="13" xfId="2" applyNumberFormat="1" applyFont="1" applyBorder="1" applyAlignment="1">
      <alignment horizontal="left" vertical="top" wrapText="1"/>
    </xf>
    <xf numFmtId="0" fontId="16" fillId="0" borderId="0" xfId="2" applyFont="1"/>
    <xf numFmtId="0" fontId="17" fillId="0" borderId="0" xfId="2" applyFont="1"/>
    <xf numFmtId="0" fontId="16" fillId="0" borderId="0" xfId="2" applyFont="1" applyAlignment="1">
      <alignment vertical="top"/>
    </xf>
    <xf numFmtId="0" fontId="25" fillId="0" borderId="0" xfId="2" applyFont="1" applyAlignment="1">
      <alignment vertical="top"/>
    </xf>
    <xf numFmtId="0" fontId="25" fillId="0" borderId="0" xfId="2" applyFont="1"/>
    <xf numFmtId="0" fontId="27" fillId="0" borderId="0" xfId="2" applyFont="1"/>
    <xf numFmtId="0" fontId="30" fillId="0" borderId="0" xfId="0" applyFont="1" applyAlignment="1">
      <alignment vertical="center" wrapText="1"/>
    </xf>
    <xf numFmtId="0" fontId="30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164" fontId="7" fillId="0" borderId="20" xfId="0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left" vertical="center"/>
    </xf>
    <xf numFmtId="0" fontId="30" fillId="0" borderId="24" xfId="0" applyFont="1" applyBorder="1" applyAlignment="1">
      <alignment horizontal="center" vertical="center" wrapText="1"/>
    </xf>
    <xf numFmtId="0" fontId="30" fillId="0" borderId="31" xfId="0" applyFont="1" applyBorder="1" applyAlignment="1">
      <alignment vertical="center" wrapText="1"/>
    </xf>
    <xf numFmtId="0" fontId="30" fillId="0" borderId="30" xfId="0" applyFont="1" applyBorder="1" applyAlignment="1">
      <alignment vertical="center" wrapText="1"/>
    </xf>
    <xf numFmtId="0" fontId="30" fillId="0" borderId="27" xfId="0" applyFont="1" applyBorder="1" applyAlignment="1">
      <alignment vertical="center" wrapText="1"/>
    </xf>
    <xf numFmtId="0" fontId="30" fillId="0" borderId="29" xfId="0" applyFont="1" applyBorder="1" applyAlignment="1">
      <alignment vertical="center" wrapText="1"/>
    </xf>
    <xf numFmtId="0" fontId="30" fillId="0" borderId="32" xfId="0" applyFont="1" applyBorder="1" applyAlignment="1">
      <alignment vertical="center" wrapText="1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0" fontId="30" fillId="0" borderId="0" xfId="0" applyFont="1" applyAlignment="1">
      <alignment horizontal="left" vertical="center" wrapText="1"/>
    </xf>
    <xf numFmtId="0" fontId="2" fillId="0" borderId="25" xfId="0" applyFont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2" fillId="0" borderId="32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3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 applyProtection="1">
      <alignment horizontal="center" vertical="center" wrapText="1"/>
      <protection locked="0"/>
    </xf>
    <xf numFmtId="0" fontId="30" fillId="0" borderId="0" xfId="0" applyFont="1" applyAlignment="1">
      <alignment horizontal="center" vertical="center" wrapText="1"/>
    </xf>
    <xf numFmtId="0" fontId="2" fillId="0" borderId="36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30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3" xfId="0" applyFont="1" applyBorder="1" applyAlignment="1">
      <alignment vertical="center" wrapText="1"/>
    </xf>
    <xf numFmtId="0" fontId="2" fillId="0" borderId="35" xfId="0" applyFont="1" applyBorder="1" applyAlignment="1">
      <alignment vertical="top"/>
    </xf>
    <xf numFmtId="0" fontId="2" fillId="0" borderId="35" xfId="0" applyFont="1" applyBorder="1" applyAlignment="1">
      <alignment vertical="center" wrapText="1"/>
    </xf>
    <xf numFmtId="0" fontId="2" fillId="0" borderId="35" xfId="0" applyFont="1" applyBorder="1" applyAlignment="1">
      <alignment horizontal="right" vertical="top"/>
    </xf>
    <xf numFmtId="0" fontId="2" fillId="0" borderId="34" xfId="0" applyFont="1" applyBorder="1" applyAlignment="1">
      <alignment vertical="center" wrapText="1"/>
    </xf>
    <xf numFmtId="0" fontId="25" fillId="0" borderId="31" xfId="2" applyFont="1" applyBorder="1"/>
    <xf numFmtId="0" fontId="25" fillId="0" borderId="32" xfId="2" applyFont="1" applyBorder="1"/>
    <xf numFmtId="0" fontId="14" fillId="0" borderId="31" xfId="2" applyFont="1" applyBorder="1" applyAlignment="1">
      <alignment vertical="top"/>
    </xf>
    <xf numFmtId="0" fontId="25" fillId="0" borderId="32" xfId="2" applyFont="1" applyBorder="1" applyAlignment="1">
      <alignment horizontal="left" vertical="top"/>
    </xf>
    <xf numFmtId="0" fontId="13" fillId="0" borderId="31" xfId="2" applyFont="1" applyBorder="1" applyAlignment="1">
      <alignment vertical="top"/>
    </xf>
    <xf numFmtId="0" fontId="23" fillId="0" borderId="32" xfId="2" applyFont="1" applyBorder="1" applyAlignment="1">
      <alignment horizontal="left" vertical="top"/>
    </xf>
    <xf numFmtId="0" fontId="13" fillId="0" borderId="31" xfId="2" applyFont="1" applyBorder="1" applyAlignment="1">
      <alignment vertical="center"/>
    </xf>
    <xf numFmtId="0" fontId="23" fillId="0" borderId="32" xfId="2" applyFont="1" applyBorder="1" applyAlignment="1">
      <alignment horizontal="center" vertical="center"/>
    </xf>
    <xf numFmtId="0" fontId="21" fillId="0" borderId="32" xfId="2" applyFont="1" applyBorder="1" applyAlignment="1">
      <alignment horizontal="center" vertical="center"/>
    </xf>
    <xf numFmtId="0" fontId="16" fillId="0" borderId="31" xfId="2" applyFont="1" applyBorder="1"/>
    <xf numFmtId="0" fontId="16" fillId="0" borderId="32" xfId="2" applyFont="1" applyBorder="1"/>
    <xf numFmtId="0" fontId="6" fillId="0" borderId="31" xfId="2" applyFont="1" applyBorder="1" applyAlignment="1">
      <alignment horizontal="left" vertical="center"/>
    </xf>
    <xf numFmtId="0" fontId="7" fillId="0" borderId="31" xfId="2" applyFont="1" applyBorder="1" applyAlignment="1">
      <alignment vertical="center"/>
    </xf>
    <xf numFmtId="0" fontId="17" fillId="0" borderId="32" xfId="2" applyFont="1" applyBorder="1"/>
    <xf numFmtId="0" fontId="3" fillId="0" borderId="31" xfId="2" applyFont="1" applyBorder="1" applyAlignment="1">
      <alignment horizontal="left" vertical="center"/>
    </xf>
    <xf numFmtId="0" fontId="3" fillId="0" borderId="31" xfId="2" applyFont="1" applyBorder="1" applyAlignment="1">
      <alignment vertical="center"/>
    </xf>
    <xf numFmtId="0" fontId="15" fillId="0" borderId="25" xfId="1" applyFont="1" applyBorder="1" applyAlignment="1">
      <alignment horizontal="left" vertical="top"/>
    </xf>
    <xf numFmtId="166" fontId="14" fillId="0" borderId="26" xfId="2" applyNumberFormat="1" applyFont="1" applyBorder="1" applyAlignment="1">
      <alignment horizontal="left" vertical="top" wrapText="1"/>
    </xf>
    <xf numFmtId="0" fontId="14" fillId="0" borderId="33" xfId="1" applyFont="1" applyBorder="1" applyAlignment="1">
      <alignment horizontal="left" vertical="top"/>
    </xf>
    <xf numFmtId="0" fontId="13" fillId="0" borderId="35" xfId="2" applyFont="1" applyBorder="1" applyAlignment="1">
      <alignment vertical="top"/>
    </xf>
    <xf numFmtId="0" fontId="12" fillId="0" borderId="35" xfId="2" applyFont="1" applyBorder="1"/>
    <xf numFmtId="0" fontId="15" fillId="0" borderId="35" xfId="1" applyFont="1" applyBorder="1" applyAlignment="1">
      <alignment vertical="top"/>
    </xf>
    <xf numFmtId="0" fontId="13" fillId="0" borderId="34" xfId="2" applyFont="1" applyBorder="1" applyAlignment="1">
      <alignment vertical="top"/>
    </xf>
    <xf numFmtId="0" fontId="9" fillId="0" borderId="0" xfId="1" applyFont="1" applyAlignment="1">
      <alignment horizontal="left" vertical="center"/>
    </xf>
    <xf numFmtId="0" fontId="35" fillId="0" borderId="0" xfId="2" applyFont="1"/>
    <xf numFmtId="0" fontId="9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14" fillId="0" borderId="0" xfId="2" applyFont="1" applyAlignment="1">
      <alignment vertical="top"/>
    </xf>
    <xf numFmtId="0" fontId="33" fillId="0" borderId="0" xfId="1" applyFont="1" applyAlignment="1">
      <alignment horizontal="center" vertical="center"/>
    </xf>
    <xf numFmtId="0" fontId="33" fillId="0" borderId="0" xfId="2" applyFont="1" applyAlignment="1">
      <alignment vertical="top"/>
    </xf>
    <xf numFmtId="2" fontId="24" fillId="0" borderId="0" xfId="2" applyNumberFormat="1" applyFont="1" applyAlignment="1">
      <alignment vertical="top"/>
    </xf>
    <xf numFmtId="0" fontId="22" fillId="0" borderId="0" xfId="2" applyFont="1"/>
    <xf numFmtId="0" fontId="24" fillId="0" borderId="0" xfId="2" applyFont="1"/>
    <xf numFmtId="0" fontId="20" fillId="0" borderId="0" xfId="2" applyFont="1" applyAlignment="1">
      <alignment horizontal="center" vertical="top"/>
    </xf>
    <xf numFmtId="0" fontId="20" fillId="0" borderId="0" xfId="2" applyFont="1" applyAlignment="1">
      <alignment horizontal="center" vertical="center"/>
    </xf>
    <xf numFmtId="164" fontId="14" fillId="0" borderId="0" xfId="2" applyNumberFormat="1" applyFont="1" applyAlignment="1">
      <alignment horizontal="center" vertical="center"/>
    </xf>
    <xf numFmtId="164" fontId="19" fillId="0" borderId="0" xfId="2" applyNumberFormat="1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164" fontId="19" fillId="0" borderId="0" xfId="2" applyNumberFormat="1" applyFont="1" applyAlignment="1">
      <alignment horizontal="center"/>
    </xf>
    <xf numFmtId="0" fontId="18" fillId="0" borderId="0" xfId="2" applyFont="1"/>
    <xf numFmtId="0" fontId="13" fillId="0" borderId="0" xfId="0" applyFont="1" applyAlignment="1">
      <alignment vertical="center"/>
    </xf>
    <xf numFmtId="167" fontId="35" fillId="0" borderId="0" xfId="2" applyNumberFormat="1" applyFont="1"/>
    <xf numFmtId="2" fontId="30" fillId="0" borderId="0" xfId="0" quotePrefix="1" applyNumberFormat="1" applyFont="1" applyAlignment="1" applyProtection="1">
      <alignment horizontal="center" vertical="center" wrapText="1"/>
      <protection locked="0"/>
    </xf>
    <xf numFmtId="1" fontId="30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 applyAlignment="1">
      <alignment horizontal="left" vertical="center" wrapText="1"/>
    </xf>
    <xf numFmtId="0" fontId="30" fillId="0" borderId="25" xfId="0" applyFont="1" applyBorder="1" applyAlignment="1">
      <alignment vertical="center" wrapText="1"/>
    </xf>
    <xf numFmtId="0" fontId="8" fillId="0" borderId="32" xfId="0" applyFont="1" applyBorder="1" applyAlignment="1">
      <alignment horizontal="centerContinuous"/>
    </xf>
    <xf numFmtId="0" fontId="13" fillId="0" borderId="2" xfId="0" applyFont="1" applyBorder="1"/>
    <xf numFmtId="0" fontId="39" fillId="0" borderId="2" xfId="0" applyFont="1" applyBorder="1" applyAlignment="1">
      <alignment horizontal="left"/>
    </xf>
    <xf numFmtId="0" fontId="0" fillId="0" borderId="29" xfId="0" applyBorder="1"/>
    <xf numFmtId="0" fontId="30" fillId="0" borderId="1" xfId="0" applyFont="1" applyBorder="1" applyAlignment="1">
      <alignment vertical="center" wrapText="1"/>
    </xf>
    <xf numFmtId="0" fontId="30" fillId="0" borderId="28" xfId="0" applyFont="1" applyBorder="1" applyAlignment="1">
      <alignment vertical="center" wrapText="1"/>
    </xf>
    <xf numFmtId="165" fontId="30" fillId="0" borderId="3" xfId="0" applyNumberFormat="1" applyFont="1" applyBorder="1" applyAlignment="1" applyProtection="1">
      <alignment horizontal="center" vertical="center" wrapText="1"/>
      <protection locked="0"/>
    </xf>
    <xf numFmtId="165" fontId="30" fillId="0" borderId="9" xfId="0" applyNumberFormat="1" applyFont="1" applyBorder="1" applyAlignment="1" applyProtection="1">
      <alignment horizontal="center" vertical="center" wrapText="1"/>
      <protection locked="0"/>
    </xf>
    <xf numFmtId="164" fontId="30" fillId="0" borderId="21" xfId="0" applyNumberFormat="1" applyFont="1" applyBorder="1" applyAlignment="1" applyProtection="1">
      <alignment horizontal="center" vertical="center" wrapText="1"/>
      <protection locked="0"/>
    </xf>
    <xf numFmtId="164" fontId="30" fillId="0" borderId="22" xfId="0" applyNumberFormat="1" applyFont="1" applyBorder="1" applyAlignment="1" applyProtection="1">
      <alignment horizontal="center" vertical="center" wrapText="1"/>
      <protection locked="0"/>
    </xf>
    <xf numFmtId="165" fontId="30" fillId="0" borderId="39" xfId="0" applyNumberFormat="1" applyFont="1" applyBorder="1" applyAlignment="1">
      <alignment horizontal="center" vertical="center" wrapText="1"/>
    </xf>
    <xf numFmtId="165" fontId="30" fillId="0" borderId="40" xfId="0" applyNumberFormat="1" applyFont="1" applyBorder="1" applyAlignment="1">
      <alignment horizontal="center" vertical="center" wrapText="1"/>
    </xf>
    <xf numFmtId="0" fontId="34" fillId="0" borderId="31" xfId="0" applyFont="1" applyBorder="1" applyAlignment="1">
      <alignment vertical="center" wrapText="1"/>
    </xf>
    <xf numFmtId="0" fontId="34" fillId="0" borderId="32" xfId="0" applyFont="1" applyBorder="1" applyAlignment="1">
      <alignment vertical="center" wrapText="1"/>
    </xf>
    <xf numFmtId="0" fontId="30" fillId="0" borderId="2" xfId="0" applyFont="1" applyBorder="1" applyAlignment="1">
      <alignment vertical="center"/>
    </xf>
    <xf numFmtId="0" fontId="30" fillId="0" borderId="33" xfId="0" applyFont="1" applyBorder="1" applyAlignment="1">
      <alignment vertical="center" wrapText="1"/>
    </xf>
    <xf numFmtId="0" fontId="30" fillId="0" borderId="35" xfId="0" applyFont="1" applyBorder="1" applyAlignment="1">
      <alignment vertical="top" wrapText="1"/>
    </xf>
    <xf numFmtId="0" fontId="30" fillId="0" borderId="34" xfId="0" applyFont="1" applyBorder="1" applyAlignment="1">
      <alignment vertical="top" wrapText="1"/>
    </xf>
    <xf numFmtId="14" fontId="30" fillId="0" borderId="0" xfId="0" applyNumberFormat="1" applyFont="1" applyAlignment="1">
      <alignment vertical="center" wrapText="1"/>
    </xf>
    <xf numFmtId="0" fontId="30" fillId="0" borderId="0" xfId="0" applyFont="1" applyAlignment="1">
      <alignment horizontal="center" wrapText="1"/>
    </xf>
    <xf numFmtId="0" fontId="39" fillId="0" borderId="0" xfId="0" applyFont="1" applyAlignment="1">
      <alignment horizontal="centerContinuous"/>
    </xf>
    <xf numFmtId="0" fontId="13" fillId="0" borderId="0" xfId="0" applyFont="1"/>
    <xf numFmtId="0" fontId="40" fillId="0" borderId="0" xfId="0" applyFont="1" applyAlignment="1">
      <alignment vertical="center"/>
    </xf>
    <xf numFmtId="9" fontId="30" fillId="0" borderId="0" xfId="0" applyNumberFormat="1" applyFont="1" applyAlignment="1">
      <alignment horizontal="left" vertical="center" wrapText="1"/>
    </xf>
    <xf numFmtId="0" fontId="34" fillId="0" borderId="0" xfId="0" applyFont="1" applyAlignment="1">
      <alignment vertical="center" wrapText="1"/>
    </xf>
    <xf numFmtId="0" fontId="30" fillId="0" borderId="0" xfId="0" applyFont="1" applyAlignment="1">
      <alignment wrapText="1"/>
    </xf>
    <xf numFmtId="165" fontId="30" fillId="0" borderId="0" xfId="0" applyNumberFormat="1" applyFont="1" applyAlignment="1" applyProtection="1">
      <alignment horizontal="center" vertical="center" wrapText="1"/>
      <protection locked="0"/>
    </xf>
    <xf numFmtId="2" fontId="30" fillId="0" borderId="0" xfId="0" applyNumberFormat="1" applyFont="1" applyAlignment="1">
      <alignment horizontal="center" vertical="center"/>
    </xf>
    <xf numFmtId="0" fontId="44" fillId="0" borderId="0" xfId="0" applyFont="1"/>
    <xf numFmtId="10" fontId="34" fillId="0" borderId="0" xfId="0" applyNumberFormat="1" applyFont="1" applyAlignment="1">
      <alignment vertical="center" wrapText="1"/>
    </xf>
    <xf numFmtId="0" fontId="34" fillId="0" borderId="0" xfId="0" applyFont="1" applyAlignment="1">
      <alignment vertical="center"/>
    </xf>
    <xf numFmtId="2" fontId="30" fillId="0" borderId="0" xfId="0" applyNumberFormat="1" applyFont="1" applyAlignment="1" applyProtection="1">
      <alignment horizontal="center" vertical="center" wrapText="1"/>
      <protection locked="0"/>
    </xf>
    <xf numFmtId="2" fontId="30" fillId="0" borderId="0" xfId="0" applyNumberFormat="1" applyFont="1" applyAlignment="1">
      <alignment horizontal="center" vertical="center" wrapText="1"/>
    </xf>
    <xf numFmtId="165" fontId="30" fillId="0" borderId="0" xfId="0" applyNumberFormat="1" applyFont="1" applyAlignment="1">
      <alignment horizontal="center" vertical="center" wrapText="1"/>
    </xf>
    <xf numFmtId="0" fontId="30" fillId="0" borderId="0" xfId="0" quotePrefix="1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5" fillId="0" borderId="17" xfId="0" applyFont="1" applyBorder="1" applyAlignment="1">
      <alignment horizontal="left" vertical="center" wrapText="1"/>
    </xf>
    <xf numFmtId="0" fontId="35" fillId="0" borderId="18" xfId="0" applyFont="1" applyBorder="1" applyAlignment="1">
      <alignment horizontal="left" vertical="center" wrapText="1"/>
    </xf>
    <xf numFmtId="0" fontId="35" fillId="0" borderId="19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1" quotePrefix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30" fillId="0" borderId="2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30" fillId="0" borderId="24" xfId="0" applyFont="1" applyBorder="1" applyAlignment="1">
      <alignment horizontal="left" vertical="center" wrapText="1"/>
    </xf>
    <xf numFmtId="0" fontId="35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0" fillId="0" borderId="2" xfId="0" quotePrefix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67" fontId="34" fillId="0" borderId="2" xfId="0" quotePrefix="1" applyNumberFormat="1" applyFont="1" applyBorder="1" applyAlignment="1">
      <alignment horizontal="center" vertical="center"/>
    </xf>
    <xf numFmtId="0" fontId="30" fillId="0" borderId="0" xfId="0" quotePrefix="1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0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3" fillId="0" borderId="3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32" xfId="0" applyFont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8" xfId="0" applyFont="1" applyBorder="1" applyAlignment="1" applyProtection="1">
      <alignment horizontal="center" vertical="center" wrapText="1"/>
      <protection locked="0"/>
    </xf>
    <xf numFmtId="167" fontId="2" fillId="0" borderId="1" xfId="0" applyNumberFormat="1" applyFont="1" applyBorder="1" applyAlignment="1">
      <alignment horizontal="center" vertical="center"/>
    </xf>
    <xf numFmtId="167" fontId="2" fillId="0" borderId="28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14" fillId="0" borderId="4" xfId="2" applyFont="1" applyBorder="1" applyAlignment="1">
      <alignment horizontal="center" vertical="center" wrapText="1"/>
    </xf>
    <xf numFmtId="0" fontId="14" fillId="0" borderId="3" xfId="2" applyFont="1" applyBorder="1" applyAlignment="1">
      <alignment horizontal="center" vertical="center" wrapText="1"/>
    </xf>
    <xf numFmtId="0" fontId="14" fillId="0" borderId="3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0" borderId="14" xfId="2" applyFont="1" applyBorder="1" applyAlignment="1">
      <alignment horizontal="center" vertical="center" wrapText="1"/>
    </xf>
    <xf numFmtId="0" fontId="14" fillId="0" borderId="15" xfId="2" applyFont="1" applyBorder="1" applyAlignment="1">
      <alignment horizontal="center" vertical="center" wrapText="1"/>
    </xf>
    <xf numFmtId="0" fontId="14" fillId="0" borderId="15" xfId="2" applyFont="1" applyBorder="1" applyAlignment="1">
      <alignment horizontal="center" vertical="center"/>
    </xf>
    <xf numFmtId="0" fontId="14" fillId="0" borderId="16" xfId="2" applyFont="1" applyBorder="1" applyAlignment="1">
      <alignment horizontal="center" vertical="center"/>
    </xf>
    <xf numFmtId="0" fontId="14" fillId="0" borderId="30" xfId="2" applyFont="1" applyBorder="1" applyAlignment="1">
      <alignment horizontal="center"/>
    </xf>
    <xf numFmtId="0" fontId="14" fillId="0" borderId="2" xfId="2" applyFont="1" applyBorder="1" applyAlignment="1">
      <alignment horizontal="center"/>
    </xf>
    <xf numFmtId="0" fontId="14" fillId="0" borderId="29" xfId="2" applyFont="1" applyBorder="1" applyAlignment="1">
      <alignment horizontal="center"/>
    </xf>
    <xf numFmtId="0" fontId="14" fillId="0" borderId="27" xfId="2" applyFont="1" applyBorder="1" applyAlignment="1">
      <alignment horizontal="center"/>
    </xf>
    <xf numFmtId="0" fontId="14" fillId="0" borderId="1" xfId="2" applyFont="1" applyBorder="1" applyAlignment="1">
      <alignment horizontal="center"/>
    </xf>
    <xf numFmtId="0" fontId="14" fillId="0" borderId="28" xfId="2" applyFont="1" applyBorder="1" applyAlignment="1">
      <alignment horizontal="center"/>
    </xf>
    <xf numFmtId="0" fontId="14" fillId="2" borderId="7" xfId="2" applyFont="1" applyFill="1" applyBorder="1" applyAlignment="1">
      <alignment horizontal="center" vertical="center" wrapText="1"/>
    </xf>
    <xf numFmtId="0" fontId="14" fillId="2" borderId="6" xfId="2" applyFont="1" applyFill="1" applyBorder="1" applyAlignment="1">
      <alignment horizontal="center" vertical="center" wrapText="1"/>
    </xf>
    <xf numFmtId="0" fontId="14" fillId="2" borderId="6" xfId="2" applyFont="1" applyFill="1" applyBorder="1" applyAlignment="1">
      <alignment horizontal="center" vertical="center"/>
    </xf>
    <xf numFmtId="0" fontId="29" fillId="0" borderId="25" xfId="2" applyFont="1" applyBorder="1" applyAlignment="1">
      <alignment horizontal="center"/>
    </xf>
    <xf numFmtId="0" fontId="29" fillId="0" borderId="13" xfId="2" applyFont="1" applyBorder="1" applyAlignment="1">
      <alignment horizontal="center"/>
    </xf>
    <xf numFmtId="0" fontId="29" fillId="0" borderId="26" xfId="2" applyFont="1" applyBorder="1" applyAlignment="1">
      <alignment horizontal="center"/>
    </xf>
    <xf numFmtId="0" fontId="28" fillId="0" borderId="31" xfId="2" applyFont="1" applyBorder="1" applyAlignment="1">
      <alignment horizontal="center"/>
    </xf>
    <xf numFmtId="0" fontId="28" fillId="0" borderId="0" xfId="2" applyFont="1" applyAlignment="1">
      <alignment horizontal="center"/>
    </xf>
    <xf numFmtId="0" fontId="28" fillId="0" borderId="32" xfId="2" applyFont="1" applyBorder="1" applyAlignment="1">
      <alignment horizontal="center"/>
    </xf>
    <xf numFmtId="0" fontId="15" fillId="0" borderId="13" xfId="1" applyFont="1" applyBorder="1" applyAlignment="1">
      <alignment horizontal="center" vertical="top"/>
    </xf>
    <xf numFmtId="0" fontId="13" fillId="0" borderId="2" xfId="0" applyFont="1" applyBorder="1" applyAlignment="1">
      <alignment horizontal="left" vertical="center"/>
    </xf>
    <xf numFmtId="0" fontId="13" fillId="0" borderId="1" xfId="5" applyFont="1" applyBorder="1" applyAlignment="1">
      <alignment horizontal="left" vertical="center"/>
    </xf>
    <xf numFmtId="0" fontId="14" fillId="2" borderId="8" xfId="2" applyFont="1" applyFill="1" applyBorder="1" applyAlignment="1">
      <alignment horizontal="center" vertical="center"/>
    </xf>
    <xf numFmtId="0" fontId="32" fillId="0" borderId="0" xfId="2" applyFont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35" fillId="0" borderId="2" xfId="2" applyFont="1" applyBorder="1" applyAlignment="1">
      <alignment horizontal="left"/>
    </xf>
    <xf numFmtId="0" fontId="35" fillId="0" borderId="0" xfId="0" applyFont="1" applyAlignment="1">
      <alignment horizontal="left" vertical="center" wrapText="1"/>
    </xf>
    <xf numFmtId="0" fontId="33" fillId="0" borderId="0" xfId="1" applyFont="1" applyAlignment="1">
      <alignment horizontal="center" vertical="center"/>
    </xf>
    <xf numFmtId="167" fontId="35" fillId="0" borderId="2" xfId="2" applyNumberFormat="1" applyFont="1" applyBorder="1" applyAlignment="1">
      <alignment horizontal="center"/>
    </xf>
    <xf numFmtId="0" fontId="35" fillId="0" borderId="0" xfId="0" applyFont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30" fillId="0" borderId="35" xfId="0" applyFont="1" applyBorder="1" applyAlignment="1">
      <alignment horizontal="left" vertical="center"/>
    </xf>
    <xf numFmtId="0" fontId="40" fillId="0" borderId="1" xfId="0" applyFont="1" applyBorder="1" applyAlignment="1">
      <alignment horizontal="center" vertical="center" wrapText="1"/>
    </xf>
    <xf numFmtId="0" fontId="34" fillId="0" borderId="4" xfId="0" quotePrefix="1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41" fillId="0" borderId="2" xfId="0" applyFont="1" applyBorder="1" applyAlignment="1">
      <alignment horizontal="left" vertical="center" wrapText="1"/>
    </xf>
    <xf numFmtId="167" fontId="41" fillId="0" borderId="2" xfId="0" applyNumberFormat="1" applyFont="1" applyBorder="1" applyAlignment="1">
      <alignment horizontal="center" vertical="center" wrapText="1"/>
    </xf>
    <xf numFmtId="0" fontId="33" fillId="0" borderId="0" xfId="5" applyFont="1" applyAlignment="1">
      <alignment horizontal="left" vertical="center"/>
    </xf>
    <xf numFmtId="0" fontId="33" fillId="0" borderId="0" xfId="5" applyFont="1" applyAlignment="1">
      <alignment horizontal="center" vertical="center"/>
    </xf>
    <xf numFmtId="0" fontId="34" fillId="0" borderId="7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34" fillId="0" borderId="37" xfId="0" applyFont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 wrapText="1"/>
    </xf>
    <xf numFmtId="0" fontId="30" fillId="0" borderId="0" xfId="0" applyFont="1" applyAlignment="1">
      <alignment horizontal="left" vertical="center"/>
    </xf>
    <xf numFmtId="0" fontId="40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38" fillId="0" borderId="13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33" fillId="0" borderId="32" xfId="0" applyFont="1" applyBorder="1" applyAlignment="1">
      <alignment horizontal="center"/>
    </xf>
    <xf numFmtId="0" fontId="31" fillId="0" borderId="32" xfId="0" applyFont="1" applyBorder="1" applyAlignment="1">
      <alignment horizontal="center"/>
    </xf>
  </cellXfs>
  <cellStyles count="9">
    <cellStyle name="Normal" xfId="0" builtinId="0"/>
    <cellStyle name="Normal 13" xfId="6" xr:uid="{00000000-0005-0000-0000-000001000000}"/>
    <cellStyle name="Normal 2" xfId="5" xr:uid="{00000000-0005-0000-0000-000002000000}"/>
    <cellStyle name="Normal 2 2 2 2" xfId="8" xr:uid="{E50DA159-17B1-442B-A588-9DD7949C4F42}"/>
    <cellStyle name="Normal 2 4" xfId="4" xr:uid="{00000000-0005-0000-0000-000003000000}"/>
    <cellStyle name="Normal 3" xfId="1" xr:uid="{00000000-0005-0000-0000-000004000000}"/>
    <cellStyle name="Normal 5" xfId="2" xr:uid="{00000000-0005-0000-0000-000005000000}"/>
    <cellStyle name="Normal 5 2" xfId="7" xr:uid="{6EA9BF52-F283-4EA7-A060-977992F07457}"/>
    <cellStyle name="Normal 6" xfId="3" xr:uid="{00000000-0005-0000-0000-000006000000}"/>
  </cellStyles>
  <dxfs count="1"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05717539336163"/>
          <c:y val="0.15219917174845227"/>
          <c:w val="0.84122200114951184"/>
          <c:h val="0.7390119803453119"/>
        </c:manualLayout>
      </c:layout>
      <c:scatterChart>
        <c:scatterStyle val="smoothMarker"/>
        <c:varyColors val="0"/>
        <c:ser>
          <c:idx val="0"/>
          <c:order val="0"/>
          <c:tx>
            <c:v>Tested sample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Report!$F$17:$P$17</c:f>
              <c:numCache>
                <c:formatCode>General</c:formatCode>
                <c:ptCount val="11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25</c:v>
                </c:pt>
                <c:pt idx="5">
                  <c:v>19</c:v>
                </c:pt>
                <c:pt idx="6">
                  <c:v>9.5</c:v>
                </c:pt>
                <c:pt idx="7" formatCode="0.00">
                  <c:v>4.75</c:v>
                </c:pt>
                <c:pt idx="8" formatCode="0.00">
                  <c:v>2</c:v>
                </c:pt>
                <c:pt idx="9" formatCode="0.000">
                  <c:v>0.42499999999999999</c:v>
                </c:pt>
                <c:pt idx="10" formatCode="0.000">
                  <c:v>7.4999999999999997E-2</c:v>
                </c:pt>
              </c:numCache>
            </c:numRef>
          </c:xVal>
          <c:yVal>
            <c:numRef>
              <c:f>Report!$F$18:$P$18</c:f>
              <c:numCache>
                <c:formatCode>0.0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94.2</c:v>
                </c:pt>
                <c:pt idx="4">
                  <c:v>90.1</c:v>
                </c:pt>
                <c:pt idx="5">
                  <c:v>84.8</c:v>
                </c:pt>
                <c:pt idx="6">
                  <c:v>73.2</c:v>
                </c:pt>
                <c:pt idx="7">
                  <c:v>61.2</c:v>
                </c:pt>
                <c:pt idx="8">
                  <c:v>48.3</c:v>
                </c:pt>
                <c:pt idx="9">
                  <c:v>34.6</c:v>
                </c:pt>
                <c:pt idx="10">
                  <c:v>15.6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EB-4CAA-A3D8-249C10E47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517032"/>
        <c:axId val="232087776"/>
      </c:scatterChart>
      <c:valAx>
        <c:axId val="2315170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Opening size (mm)</a:t>
                </a:r>
              </a:p>
            </c:rich>
          </c:tx>
          <c:layout>
            <c:manualLayout>
              <c:xMode val="edge"/>
              <c:yMode val="edge"/>
              <c:x val="0.45801558774618822"/>
              <c:y val="0.8956055493063365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2087776"/>
        <c:crosses val="autoZero"/>
        <c:crossBetween val="midCat"/>
      </c:valAx>
      <c:valAx>
        <c:axId val="23208777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Passing (%)</a:t>
                </a:r>
              </a:p>
            </c:rich>
          </c:tx>
          <c:layout>
            <c:manualLayout>
              <c:xMode val="edge"/>
              <c:yMode val="edge"/>
              <c:x val="2.4427480916030534E-2"/>
              <c:y val="0.3379126647630598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1517032"/>
        <c:crossesAt val="1.0000000000000005E-2"/>
        <c:crossBetween val="midCat"/>
      </c:valAx>
      <c:spPr>
        <a:solidFill>
          <a:srgbClr val="C0C0C0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144" r="0.75000000000000144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765897292004868E-2"/>
          <c:y val="5.2535983201515493E-2"/>
          <c:w val="0.88376002349203386"/>
          <c:h val="0.85349232706947942"/>
        </c:manualLayout>
      </c:layout>
      <c:scatterChart>
        <c:scatterStyle val="smoothMarker"/>
        <c:varyColors val="0"/>
        <c:ser>
          <c:idx val="0"/>
          <c:order val="0"/>
          <c:spPr>
            <a:ln w="47625">
              <a:noFill/>
            </a:ln>
          </c:spPr>
          <c:trendline>
            <c:spPr>
              <a:ln w="22225">
                <a:solidFill>
                  <a:srgbClr val="002060"/>
                </a:solidFill>
              </a:ln>
            </c:spPr>
            <c:trendlineType val="poly"/>
            <c:order val="4"/>
            <c:dispRSqr val="0"/>
            <c:dispEq val="0"/>
          </c:trendline>
          <c:xVal>
            <c:numRef>
              <c:f>Proctor!$E$18:$H$18</c:f>
              <c:numCache>
                <c:formatCode>0.0</c:formatCode>
                <c:ptCount val="4"/>
                <c:pt idx="0">
                  <c:v>4.7</c:v>
                </c:pt>
                <c:pt idx="1">
                  <c:v>5.4</c:v>
                </c:pt>
                <c:pt idx="2">
                  <c:v>7.1</c:v>
                </c:pt>
                <c:pt idx="3">
                  <c:v>8.1999999999999993</c:v>
                </c:pt>
              </c:numCache>
            </c:numRef>
          </c:xVal>
          <c:yVal>
            <c:numRef>
              <c:f>Proctor!$E$19:$H$19</c:f>
              <c:numCache>
                <c:formatCode>0.000</c:formatCode>
                <c:ptCount val="4"/>
                <c:pt idx="0">
                  <c:v>2.0487106017191978</c:v>
                </c:pt>
                <c:pt idx="1">
                  <c:v>2.0891840607210623</c:v>
                </c:pt>
                <c:pt idx="2">
                  <c:v>2.1101774042950514</c:v>
                </c:pt>
                <c:pt idx="3">
                  <c:v>2.0573012939001849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43-416B-9B84-17149D846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21472"/>
        <c:axId val="78523008"/>
      </c:scatterChart>
      <c:scatterChart>
        <c:scatterStyle val="lineMarker"/>
        <c:varyColors val="0"/>
        <c:ser>
          <c:idx val="1"/>
          <c:order val="1"/>
          <c:tx>
            <c:v>Max X</c:v>
          </c:tx>
          <c:spPr>
            <a:ln w="50800"/>
          </c:spPr>
          <c:marker>
            <c:symbol val="none"/>
          </c:marker>
          <c:xVal>
            <c:numRef>
              <c:f>(Proctor!$F$44,Proctor!$H$44)</c:f>
              <c:numCache>
                <c:formatCode>0.00</c:formatCode>
                <c:ptCount val="2"/>
                <c:pt idx="0">
                  <c:v>6.6</c:v>
                </c:pt>
                <c:pt idx="1">
                  <c:v>0</c:v>
                </c:pt>
              </c:numCache>
            </c:numRef>
          </c:xVal>
          <c:yVal>
            <c:numRef>
              <c:f>(Proctor!$F$45,Proctor!$H$45)</c:f>
              <c:numCache>
                <c:formatCode>0.000</c:formatCode>
                <c:ptCount val="2"/>
                <c:pt idx="0">
                  <c:v>2.1179999999999999</c:v>
                </c:pt>
                <c:pt idx="1">
                  <c:v>2.1179999999999999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A62-4BC4-BAB3-4696C33C0C2A}"/>
            </c:ext>
          </c:extLst>
        </c:ser>
        <c:ser>
          <c:idx val="3"/>
          <c:order val="2"/>
          <c:tx>
            <c:v>Max y</c:v>
          </c:tx>
          <c:spPr>
            <a:ln w="50800"/>
          </c:spPr>
          <c:marker>
            <c:symbol val="none"/>
          </c:marker>
          <c:xVal>
            <c:numRef>
              <c:f>(Proctor!$F$44,Proctor!$G$44)</c:f>
              <c:numCache>
                <c:formatCode>0.00</c:formatCode>
                <c:ptCount val="2"/>
                <c:pt idx="0">
                  <c:v>6.6</c:v>
                </c:pt>
                <c:pt idx="1">
                  <c:v>6.6</c:v>
                </c:pt>
              </c:numCache>
            </c:numRef>
          </c:xVal>
          <c:yVal>
            <c:numRef>
              <c:f>(Proctor!$F$45,Proctor!$G$45)</c:f>
              <c:numCache>
                <c:formatCode>0.000</c:formatCode>
                <c:ptCount val="2"/>
                <c:pt idx="0">
                  <c:v>2.1179999999999999</c:v>
                </c:pt>
                <c:pt idx="1">
                  <c:v>2.0487106017191978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A62-4BC4-BAB3-4696C33C0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21472"/>
        <c:axId val="78523008"/>
      </c:scatterChart>
      <c:valAx>
        <c:axId val="78521472"/>
        <c:scaling>
          <c:orientation val="minMax"/>
          <c:min val="3"/>
        </c:scaling>
        <c:delete val="0"/>
        <c:axPos val="b"/>
        <c:minorGridlines/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78523008"/>
        <c:crosses val="autoZero"/>
        <c:crossBetween val="midCat"/>
        <c:majorUnit val="1"/>
        <c:minorUnit val="0.2"/>
      </c:valAx>
      <c:valAx>
        <c:axId val="78523008"/>
        <c:scaling>
          <c:orientation val="minMax"/>
          <c:max val="2.14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78521472"/>
        <c:crosses val="autoZero"/>
        <c:crossBetween val="midCat"/>
        <c:majorUnit val="1.0000000000000002E-2"/>
        <c:minorUnit val="1.0000000000000002E-2"/>
      </c:valAx>
      <c:spPr>
        <a:solidFill>
          <a:schemeClr val="accent1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155" l="0.70000000000000062" r="0.70000000000000062" t="0.7500000000000015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95249</xdr:rowOff>
    </xdr:from>
    <xdr:to>
      <xdr:col>16</xdr:col>
      <xdr:colOff>9525</xdr:colOff>
      <xdr:row>34</xdr:row>
      <xdr:rowOff>419099</xdr:rowOff>
    </xdr:to>
    <xdr:graphicFrame macro="">
      <xdr:nvGraphicFramePr>
        <xdr:cNvPr id="1025" name="Chart 4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102053</xdr:colOff>
      <xdr:row>19</xdr:row>
      <xdr:rowOff>83345</xdr:rowOff>
    </xdr:from>
    <xdr:to>
      <xdr:col>8</xdr:col>
      <xdr:colOff>887864</xdr:colOff>
      <xdr:row>32</xdr:row>
      <xdr:rowOff>214313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2F2FA4-718A-4B21-A986-E85D44C9E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AL65"/>
  <sheetViews>
    <sheetView showGridLines="0" view="pageBreakPreview" topLeftCell="A17" zoomScaleNormal="85" zoomScaleSheetLayoutView="100" workbookViewId="0">
      <selection activeCell="P7" sqref="P7:Q7"/>
    </sheetView>
  </sheetViews>
  <sheetFormatPr defaultColWidth="9.109375" defaultRowHeight="16.2"/>
  <cols>
    <col min="1" max="1" width="3.6640625" style="1" customWidth="1"/>
    <col min="2" max="3" width="4.33203125" style="1" customWidth="1"/>
    <col min="4" max="4" width="5.33203125" style="1" customWidth="1"/>
    <col min="5" max="5" width="6.44140625" style="1" customWidth="1"/>
    <col min="6" max="7" width="6.5546875" style="1" customWidth="1"/>
    <col min="8" max="14" width="6.109375" style="1" customWidth="1"/>
    <col min="15" max="15" width="6.33203125" style="1" customWidth="1"/>
    <col min="16" max="16" width="8.5546875" style="1" customWidth="1"/>
    <col min="17" max="17" width="4.6640625" style="1" customWidth="1"/>
    <col min="18" max="18" width="7.44140625" style="1" customWidth="1"/>
    <col min="19" max="19" width="6.109375" style="1" customWidth="1"/>
    <col min="20" max="20" width="6.21875" style="1" customWidth="1"/>
    <col min="21" max="21" width="7.6640625" style="1" customWidth="1"/>
    <col min="22" max="22" width="11.109375" style="1" customWidth="1"/>
    <col min="23" max="23" width="7.6640625" style="1" customWidth="1"/>
    <col min="24" max="24" width="7.6640625" style="1" hidden="1" customWidth="1"/>
    <col min="25" max="29" width="7.6640625" style="1" customWidth="1"/>
    <col min="30" max="16384" width="9.109375" style="1"/>
  </cols>
  <sheetData>
    <row r="1" spans="1:38" ht="20.100000000000001" customHeight="1">
      <c r="A1" s="36"/>
      <c r="B1" s="160" t="s">
        <v>7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37"/>
    </row>
    <row r="2" spans="1:38" ht="15.9" customHeight="1">
      <c r="A2" s="38"/>
      <c r="B2" s="144" t="s">
        <v>8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39"/>
    </row>
    <row r="3" spans="1:38" ht="15.9" customHeight="1">
      <c r="A3" s="38"/>
      <c r="B3" s="144" t="s">
        <v>10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39"/>
    </row>
    <row r="4" spans="1:38" ht="15.9" customHeight="1">
      <c r="A4" s="38"/>
      <c r="B4" s="161" t="s">
        <v>9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39"/>
    </row>
    <row r="5" spans="1:38" ht="15.9" customHeight="1">
      <c r="A5" s="40"/>
      <c r="B5" s="162" t="s">
        <v>11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41"/>
    </row>
    <row r="6" spans="1:38" ht="15.9" customHeight="1">
      <c r="A6" s="38"/>
      <c r="B6" s="167" t="s">
        <v>12</v>
      </c>
      <c r="C6" s="167"/>
      <c r="D6" s="167"/>
      <c r="E6" s="167"/>
      <c r="F6" s="167"/>
      <c r="G6" s="167"/>
      <c r="H6" s="167"/>
      <c r="I6" s="167"/>
      <c r="O6" s="3" t="s">
        <v>42</v>
      </c>
      <c r="Q6" s="39"/>
    </row>
    <row r="7" spans="1:38" ht="19.5" customHeight="1">
      <c r="A7" s="40"/>
      <c r="B7" s="168" t="s">
        <v>26</v>
      </c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4"/>
      <c r="N7" s="4"/>
      <c r="O7" s="26" t="s">
        <v>46</v>
      </c>
      <c r="P7" s="179">
        <f>F11+6</f>
        <v>45906</v>
      </c>
      <c r="Q7" s="180"/>
    </row>
    <row r="8" spans="1:38" ht="19.2" customHeight="1">
      <c r="A8" s="170" t="s">
        <v>47</v>
      </c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2"/>
    </row>
    <row r="9" spans="1:38" ht="34.799999999999997" customHeight="1">
      <c r="A9" s="173" t="s">
        <v>24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5"/>
    </row>
    <row r="10" spans="1:38" ht="36" customHeight="1">
      <c r="A10" s="176" t="s">
        <v>25</v>
      </c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8"/>
      <c r="AF10" s="23"/>
      <c r="AG10" s="23"/>
      <c r="AH10" s="23"/>
      <c r="AI10" s="23"/>
      <c r="AJ10" s="23"/>
      <c r="AK10" s="23"/>
      <c r="AL10" s="23"/>
    </row>
    <row r="11" spans="1:38" ht="20.100000000000001" customHeight="1">
      <c r="A11" s="38"/>
      <c r="B11" s="163" t="s">
        <v>43</v>
      </c>
      <c r="C11" s="164"/>
      <c r="D11" s="164"/>
      <c r="E11" s="164"/>
      <c r="F11" s="165">
        <v>45900</v>
      </c>
      <c r="G11" s="165"/>
      <c r="H11" s="165"/>
      <c r="I11" s="42"/>
      <c r="J11" s="42"/>
      <c r="K11" s="42"/>
      <c r="L11" s="43"/>
      <c r="Q11" s="39"/>
    </row>
    <row r="12" spans="1:38" ht="15.9" customHeight="1">
      <c r="A12" s="38"/>
      <c r="B12" s="166" t="s">
        <v>44</v>
      </c>
      <c r="C12" s="166"/>
      <c r="D12" s="166"/>
      <c r="E12" s="166"/>
      <c r="F12" s="139" t="s">
        <v>45</v>
      </c>
      <c r="G12" s="139"/>
      <c r="H12" s="139"/>
      <c r="I12" s="139"/>
      <c r="J12" s="139"/>
      <c r="K12" s="139"/>
      <c r="L12" s="139"/>
      <c r="N12" s="139" t="s">
        <v>3</v>
      </c>
      <c r="O12" s="139"/>
      <c r="P12" s="139"/>
      <c r="Q12" s="39"/>
    </row>
    <row r="13" spans="1:38" ht="15.9" customHeight="1">
      <c r="A13" s="38"/>
      <c r="B13" s="138" t="s">
        <v>48</v>
      </c>
      <c r="C13" s="138"/>
      <c r="D13" s="138"/>
      <c r="E13" s="138"/>
      <c r="F13" s="138"/>
      <c r="G13" s="138"/>
      <c r="H13" s="138"/>
      <c r="I13" s="139" t="s">
        <v>49</v>
      </c>
      <c r="J13" s="139"/>
      <c r="K13" s="22"/>
      <c r="N13" s="44" t="s">
        <v>4</v>
      </c>
      <c r="O13" s="35"/>
      <c r="P13" s="100">
        <v>0</v>
      </c>
      <c r="Q13" s="39"/>
    </row>
    <row r="14" spans="1:38" ht="15.9" customHeight="1">
      <c r="A14" s="38"/>
      <c r="B14" s="145" t="s">
        <v>32</v>
      </c>
      <c r="C14" s="146"/>
      <c r="D14" s="146"/>
      <c r="E14" s="46">
        <v>3</v>
      </c>
      <c r="F14" s="21"/>
      <c r="G14" s="21"/>
      <c r="H14" s="21"/>
      <c r="I14" s="21"/>
      <c r="J14" s="21"/>
      <c r="K14" s="21"/>
      <c r="N14" s="44" t="s">
        <v>5</v>
      </c>
      <c r="O14" s="35"/>
      <c r="P14" s="101">
        <v>0</v>
      </c>
      <c r="Q14" s="39"/>
    </row>
    <row r="15" spans="1:38" ht="15.9" customHeight="1">
      <c r="A15" s="38"/>
      <c r="B15" s="146" t="s">
        <v>33</v>
      </c>
      <c r="C15" s="146"/>
      <c r="D15" s="146"/>
      <c r="E15" s="46">
        <v>50</v>
      </c>
      <c r="N15" s="44" t="s">
        <v>6</v>
      </c>
      <c r="O15" s="35"/>
      <c r="P15" s="135">
        <v>0</v>
      </c>
      <c r="Q15" s="39"/>
    </row>
    <row r="16" spans="1:38" ht="15.9" customHeight="1" thickBot="1">
      <c r="A16" s="38"/>
      <c r="B16" s="149" t="s">
        <v>35</v>
      </c>
      <c r="C16" s="149"/>
      <c r="D16" s="149"/>
      <c r="E16" s="147">
        <f>500*(E15-1)</f>
        <v>24500</v>
      </c>
      <c r="F16" s="147"/>
      <c r="G16" s="27"/>
      <c r="H16" s="27" t="s">
        <v>36</v>
      </c>
      <c r="I16" s="148">
        <f>E15*500</f>
        <v>25000</v>
      </c>
      <c r="J16" s="148"/>
      <c r="K16" s="148"/>
      <c r="L16" s="1" t="s">
        <v>41</v>
      </c>
      <c r="N16" s="44"/>
      <c r="O16" s="35"/>
      <c r="P16" s="45"/>
      <c r="Q16" s="39"/>
    </row>
    <row r="17" spans="1:17" ht="45" customHeight="1" thickTop="1" thickBot="1">
      <c r="A17" s="38"/>
      <c r="B17" s="140" t="s">
        <v>2</v>
      </c>
      <c r="C17" s="141"/>
      <c r="D17" s="142"/>
      <c r="E17" s="8">
        <v>100</v>
      </c>
      <c r="F17" s="8">
        <v>75</v>
      </c>
      <c r="G17" s="9">
        <v>63</v>
      </c>
      <c r="H17" s="9">
        <v>50</v>
      </c>
      <c r="I17" s="9">
        <v>37.5</v>
      </c>
      <c r="J17" s="9">
        <v>25</v>
      </c>
      <c r="K17" s="9">
        <v>19</v>
      </c>
      <c r="L17" s="9">
        <v>9.5</v>
      </c>
      <c r="M17" s="10">
        <v>4.75</v>
      </c>
      <c r="N17" s="11">
        <v>2</v>
      </c>
      <c r="O17" s="6">
        <v>0.42499999999999999</v>
      </c>
      <c r="P17" s="7">
        <v>7.4999999999999997E-2</v>
      </c>
      <c r="Q17" s="39"/>
    </row>
    <row r="18" spans="1:17" ht="33.75" customHeight="1" thickTop="1" thickBot="1">
      <c r="A18" s="38"/>
      <c r="B18" s="150" t="s">
        <v>1</v>
      </c>
      <c r="C18" s="151"/>
      <c r="D18" s="152"/>
      <c r="E18" s="24">
        <v>100</v>
      </c>
      <c r="F18" s="24">
        <v>100</v>
      </c>
      <c r="G18" s="24">
        <v>100</v>
      </c>
      <c r="H18" s="24">
        <v>100</v>
      </c>
      <c r="I18" s="24">
        <v>94.2</v>
      </c>
      <c r="J18" s="24">
        <v>90.1</v>
      </c>
      <c r="K18" s="24">
        <v>84.8</v>
      </c>
      <c r="L18" s="24">
        <v>73.2</v>
      </c>
      <c r="M18" s="24">
        <v>61.2</v>
      </c>
      <c r="N18" s="24">
        <v>48.3</v>
      </c>
      <c r="O18" s="24">
        <v>34.6</v>
      </c>
      <c r="P18" s="24">
        <v>15.6</v>
      </c>
      <c r="Q18" s="47"/>
    </row>
    <row r="19" spans="1:17" ht="36" customHeight="1" thickTop="1" thickBot="1">
      <c r="A19" s="38"/>
      <c r="B19" s="140" t="s">
        <v>37</v>
      </c>
      <c r="C19" s="141"/>
      <c r="D19" s="142"/>
      <c r="E19" s="8">
        <v>100</v>
      </c>
      <c r="F19" s="157" t="s">
        <v>34</v>
      </c>
      <c r="G19" s="158"/>
      <c r="H19" s="158"/>
      <c r="I19" s="158"/>
      <c r="J19" s="158"/>
      <c r="K19" s="158"/>
      <c r="L19" s="158"/>
      <c r="M19" s="158"/>
      <c r="N19" s="158"/>
      <c r="O19" s="159"/>
      <c r="P19" s="25">
        <v>30</v>
      </c>
      <c r="Q19" s="39"/>
    </row>
    <row r="20" spans="1:17" ht="19.5" customHeight="1" thickTop="1">
      <c r="A20" s="38"/>
      <c r="Q20" s="39"/>
    </row>
    <row r="21" spans="1:17" ht="20.100000000000001" customHeight="1">
      <c r="A21" s="38"/>
      <c r="Q21" s="39"/>
    </row>
    <row r="22" spans="1:17" ht="20.100000000000001" customHeight="1">
      <c r="A22" s="38"/>
      <c r="Q22" s="39"/>
    </row>
    <row r="23" spans="1:17" ht="20.100000000000001" customHeight="1">
      <c r="A23" s="38"/>
      <c r="Q23" s="39"/>
    </row>
    <row r="24" spans="1:17" ht="20.100000000000001" customHeight="1">
      <c r="A24" s="38"/>
      <c r="Q24" s="39"/>
    </row>
    <row r="25" spans="1:17" ht="20.100000000000001" customHeight="1">
      <c r="A25" s="38"/>
      <c r="Q25" s="39"/>
    </row>
    <row r="26" spans="1:17" ht="20.100000000000001" customHeight="1">
      <c r="A26" s="38"/>
      <c r="Q26" s="39"/>
    </row>
    <row r="27" spans="1:17" ht="20.100000000000001" customHeight="1">
      <c r="A27" s="38"/>
      <c r="Q27" s="39"/>
    </row>
    <row r="28" spans="1:17" ht="20.100000000000001" customHeight="1">
      <c r="A28" s="38"/>
      <c r="Q28" s="39"/>
    </row>
    <row r="29" spans="1:17" ht="20.100000000000001" customHeight="1">
      <c r="A29" s="38"/>
      <c r="Q29" s="39"/>
    </row>
    <row r="30" spans="1:17" ht="20.100000000000001" customHeight="1">
      <c r="A30" s="38"/>
      <c r="Q30" s="39"/>
    </row>
    <row r="31" spans="1:17" ht="20.100000000000001" customHeight="1">
      <c r="A31" s="38"/>
      <c r="Q31" s="39"/>
    </row>
    <row r="32" spans="1:17" ht="20.100000000000001" customHeight="1">
      <c r="A32" s="38"/>
      <c r="Q32" s="39"/>
    </row>
    <row r="33" spans="1:19" ht="20.100000000000001" customHeight="1">
      <c r="A33" s="38"/>
      <c r="Q33" s="39"/>
    </row>
    <row r="34" spans="1:19" ht="20.100000000000001" customHeight="1">
      <c r="A34" s="38"/>
      <c r="Q34" s="39"/>
    </row>
    <row r="35" spans="1:19" ht="33" customHeight="1">
      <c r="A35" s="38"/>
      <c r="Q35" s="39"/>
    </row>
    <row r="36" spans="1:19" ht="33" customHeight="1">
      <c r="A36" s="38"/>
      <c r="B36" s="153" t="s">
        <v>40</v>
      </c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5"/>
      <c r="Q36" s="39"/>
    </row>
    <row r="37" spans="1:19" ht="15.9" customHeight="1">
      <c r="A37" s="38"/>
      <c r="B37" s="48" t="s">
        <v>0</v>
      </c>
      <c r="Q37" s="39"/>
    </row>
    <row r="38" spans="1:19" ht="45" customHeight="1">
      <c r="A38" s="40"/>
      <c r="B38" s="156" t="s">
        <v>31</v>
      </c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41"/>
    </row>
    <row r="39" spans="1:19" ht="13.2" customHeight="1">
      <c r="A39" s="4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50"/>
    </row>
    <row r="40" spans="1:19" ht="19.2" customHeight="1">
      <c r="A40" s="38"/>
      <c r="B40" s="143" t="s">
        <v>30</v>
      </c>
      <c r="C40" s="143"/>
      <c r="D40" s="143"/>
      <c r="E40" s="143"/>
      <c r="F40" s="143"/>
      <c r="G40" s="143"/>
      <c r="H40" s="143"/>
      <c r="K40" s="144" t="s">
        <v>27</v>
      </c>
      <c r="L40" s="144"/>
      <c r="M40" s="144"/>
      <c r="N40" s="144"/>
      <c r="O40" s="144"/>
      <c r="P40" s="144"/>
      <c r="Q40" s="39"/>
    </row>
    <row r="41" spans="1:19" ht="13.2" customHeight="1" thickBot="1">
      <c r="A41" s="51"/>
      <c r="B41" s="52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4"/>
      <c r="Q41" s="55"/>
    </row>
    <row r="42" spans="1:19" ht="15.75" customHeight="1"/>
    <row r="43" spans="1:19" ht="15" customHeight="1"/>
    <row r="44" spans="1:19" ht="15" customHeight="1">
      <c r="S44" s="5"/>
    </row>
    <row r="45" spans="1:19" ht="15" customHeight="1">
      <c r="S45" s="5"/>
    </row>
    <row r="46" spans="1:19" ht="15" customHeight="1">
      <c r="S46" s="5"/>
    </row>
    <row r="47" spans="1:19" ht="15" customHeight="1"/>
    <row r="48" spans="1:19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sheetProtection selectLockedCells="1"/>
  <mergeCells count="31">
    <mergeCell ref="B6:I6"/>
    <mergeCell ref="B7:L7"/>
    <mergeCell ref="A8:Q8"/>
    <mergeCell ref="A9:Q9"/>
    <mergeCell ref="A10:Q10"/>
    <mergeCell ref="P7:Q7"/>
    <mergeCell ref="N12:P12"/>
    <mergeCell ref="B11:E11"/>
    <mergeCell ref="F11:H11"/>
    <mergeCell ref="F12:L12"/>
    <mergeCell ref="B12:E12"/>
    <mergeCell ref="B1:P1"/>
    <mergeCell ref="B2:P2"/>
    <mergeCell ref="B3:P3"/>
    <mergeCell ref="B4:P4"/>
    <mergeCell ref="B5:P5"/>
    <mergeCell ref="B13:H13"/>
    <mergeCell ref="I13:J13"/>
    <mergeCell ref="B17:D17"/>
    <mergeCell ref="B40:H40"/>
    <mergeCell ref="K40:P40"/>
    <mergeCell ref="B14:D14"/>
    <mergeCell ref="B15:D15"/>
    <mergeCell ref="E16:F16"/>
    <mergeCell ref="I16:K16"/>
    <mergeCell ref="B16:D16"/>
    <mergeCell ref="B18:D18"/>
    <mergeCell ref="B36:P36"/>
    <mergeCell ref="B38:P38"/>
    <mergeCell ref="B19:D19"/>
    <mergeCell ref="F19:O19"/>
  </mergeCells>
  <phoneticPr fontId="5" type="noConversion"/>
  <conditionalFormatting sqref="P13">
    <cfRule type="cellIs" dxfId="0" priority="1" operator="equal">
      <formula>0</formula>
    </cfRule>
  </conditionalFormatting>
  <dataValidations disablePrompts="1" count="1">
    <dataValidation type="list" allowBlank="1" showInputMessage="1" showErrorMessage="1" sqref="R15:S16" xr:uid="{00000000-0002-0000-0300-000000000000}">
      <formula1>"Cumulated,Uncumulated"</formula1>
    </dataValidation>
  </dataValidations>
  <printOptions horizontalCentered="1" verticalCentered="1"/>
  <pageMargins left="0" right="0" top="0.196850393700787" bottom="0.118110236220472" header="0" footer="0"/>
  <pageSetup paperSize="9" scale="90" orientation="portrait" r:id="rId1"/>
  <rowBreaks count="1" manualBreakCount="1">
    <brk id="4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3" tint="0.59999389629810485"/>
    <pageSetUpPr fitToPage="1"/>
  </sheetPr>
  <dimension ref="A1:IV37"/>
  <sheetViews>
    <sheetView showGridLines="0" view="pageBreakPreview" zoomScaleNormal="100" zoomScaleSheetLayoutView="100" workbookViewId="0">
      <selection activeCell="J7" sqref="J7:K7"/>
    </sheetView>
  </sheetViews>
  <sheetFormatPr defaultColWidth="9.109375" defaultRowHeight="13.2"/>
  <cols>
    <col min="1" max="1" width="2.6640625" style="12" customWidth="1"/>
    <col min="2" max="2" width="2.88671875" style="12" customWidth="1"/>
    <col min="3" max="4" width="12.33203125" style="12" customWidth="1"/>
    <col min="5" max="8" width="10.6640625" style="12" customWidth="1"/>
    <col min="9" max="10" width="11.6640625" style="12" customWidth="1"/>
    <col min="11" max="11" width="2.6640625" style="12" customWidth="1"/>
    <col min="12" max="16384" width="9.109375" style="12"/>
  </cols>
  <sheetData>
    <row r="1" spans="1:256" ht="17.399999999999999">
      <c r="A1" s="199" t="s">
        <v>20</v>
      </c>
      <c r="B1" s="200"/>
      <c r="C1" s="200"/>
      <c r="D1" s="200"/>
      <c r="E1" s="200"/>
      <c r="F1" s="200"/>
      <c r="G1" s="200"/>
      <c r="H1" s="200"/>
      <c r="I1" s="200"/>
      <c r="J1" s="200"/>
      <c r="K1" s="201"/>
    </row>
    <row r="2" spans="1:256" ht="15.6" customHeight="1">
      <c r="A2" s="202" t="s">
        <v>19</v>
      </c>
      <c r="B2" s="203"/>
      <c r="C2" s="203"/>
      <c r="D2" s="203"/>
      <c r="E2" s="203"/>
      <c r="F2" s="203"/>
      <c r="G2" s="203"/>
      <c r="H2" s="203"/>
      <c r="I2" s="203"/>
      <c r="J2" s="203"/>
      <c r="K2" s="204"/>
    </row>
    <row r="3" spans="1:256" ht="15.6" customHeight="1">
      <c r="A3" s="202" t="s">
        <v>10</v>
      </c>
      <c r="B3" s="203"/>
      <c r="C3" s="203"/>
      <c r="D3" s="203"/>
      <c r="E3" s="203"/>
      <c r="F3" s="203"/>
      <c r="G3" s="203"/>
      <c r="H3" s="203"/>
      <c r="I3" s="203"/>
      <c r="J3" s="203"/>
      <c r="K3" s="204"/>
    </row>
    <row r="4" spans="1:256" s="21" customFormat="1" ht="15.9" customHeight="1">
      <c r="A4" s="28"/>
      <c r="B4" s="181" t="s">
        <v>9</v>
      </c>
      <c r="C4" s="181"/>
      <c r="D4" s="181"/>
      <c r="E4" s="181"/>
      <c r="F4" s="181"/>
      <c r="G4" s="181"/>
      <c r="H4" s="181"/>
      <c r="I4" s="181"/>
      <c r="J4" s="181"/>
      <c r="K4" s="32"/>
    </row>
    <row r="5" spans="1:256" s="21" customFormat="1" ht="15.9" customHeight="1">
      <c r="A5" s="28"/>
      <c r="B5" s="181" t="s">
        <v>11</v>
      </c>
      <c r="C5" s="181"/>
      <c r="D5" s="181"/>
      <c r="E5" s="181"/>
      <c r="F5" s="181"/>
      <c r="G5" s="181"/>
      <c r="H5" s="181"/>
      <c r="I5" s="181"/>
      <c r="J5" s="181"/>
      <c r="K5" s="32"/>
    </row>
    <row r="6" spans="1:256" s="21" customFormat="1" ht="31.8" customHeight="1">
      <c r="A6" s="29"/>
      <c r="B6" s="206" t="s">
        <v>21</v>
      </c>
      <c r="C6" s="206"/>
      <c r="D6" s="206"/>
      <c r="E6" s="206"/>
      <c r="F6" s="206"/>
      <c r="G6" s="206"/>
      <c r="H6" s="206"/>
      <c r="I6" s="206" t="str">
        <f>Report!O6</f>
        <v>File No.5143</v>
      </c>
      <c r="J6" s="206"/>
      <c r="K6" s="31"/>
    </row>
    <row r="7" spans="1:256" s="21" customFormat="1" ht="31.8" customHeight="1">
      <c r="A7" s="30"/>
      <c r="B7" s="207" t="str">
        <f>Report!B7</f>
        <v>Project Spec :- Section 31 23 16.33 ( Excavation, Fill and Subgrade)</v>
      </c>
      <c r="C7" s="207"/>
      <c r="D7" s="207"/>
      <c r="E7" s="207"/>
      <c r="F7" s="207"/>
      <c r="G7" s="207"/>
      <c r="H7" s="207"/>
      <c r="I7" s="98" t="str">
        <f>Report!O7</f>
        <v>Date :</v>
      </c>
      <c r="J7" s="210">
        <f>Report!P7</f>
        <v>45906</v>
      </c>
      <c r="K7" s="211"/>
    </row>
    <row r="8" spans="1:256" s="20" customFormat="1" ht="26.25" customHeight="1">
      <c r="A8" s="190" t="s">
        <v>18</v>
      </c>
      <c r="B8" s="191"/>
      <c r="C8" s="191"/>
      <c r="D8" s="191"/>
      <c r="E8" s="191"/>
      <c r="F8" s="191"/>
      <c r="G8" s="191"/>
      <c r="H8" s="191"/>
      <c r="I8" s="191"/>
      <c r="J8" s="191"/>
      <c r="K8" s="192"/>
    </row>
    <row r="9" spans="1:256" s="15" customFormat="1" ht="26.25" customHeight="1">
      <c r="A9" s="193" t="s">
        <v>28</v>
      </c>
      <c r="B9" s="194"/>
      <c r="C9" s="194"/>
      <c r="D9" s="194"/>
      <c r="E9" s="194"/>
      <c r="F9" s="194"/>
      <c r="G9" s="194"/>
      <c r="H9" s="194"/>
      <c r="I9" s="194"/>
      <c r="J9" s="194"/>
      <c r="K9" s="195"/>
    </row>
    <row r="10" spans="1:256" s="15" customFormat="1" ht="22.8" customHeight="1">
      <c r="A10" s="56"/>
      <c r="B10" s="19"/>
      <c r="C10" s="212" t="str">
        <f>Report!B11</f>
        <v>Sample delivery date:</v>
      </c>
      <c r="D10" s="212"/>
      <c r="E10" s="215">
        <v>45900</v>
      </c>
      <c r="F10" s="215"/>
      <c r="G10" s="99"/>
      <c r="H10" s="80"/>
      <c r="I10" s="80"/>
      <c r="J10" s="80"/>
      <c r="K10" s="57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 t="s">
        <v>17</v>
      </c>
      <c r="BT10" s="19" t="s">
        <v>17</v>
      </c>
      <c r="BU10" s="19" t="s">
        <v>17</v>
      </c>
      <c r="BV10" s="19" t="s">
        <v>17</v>
      </c>
      <c r="BW10" s="19" t="s">
        <v>17</v>
      </c>
      <c r="BX10" s="19" t="s">
        <v>17</v>
      </c>
      <c r="BY10" s="19" t="s">
        <v>17</v>
      </c>
      <c r="BZ10" s="19" t="s">
        <v>17</v>
      </c>
      <c r="CA10" s="19" t="s">
        <v>17</v>
      </c>
      <c r="CB10" s="19" t="s">
        <v>17</v>
      </c>
      <c r="CC10" s="19" t="s">
        <v>17</v>
      </c>
      <c r="CD10" s="19" t="s">
        <v>17</v>
      </c>
      <c r="CE10" s="19" t="s">
        <v>17</v>
      </c>
      <c r="CF10" s="19" t="s">
        <v>17</v>
      </c>
      <c r="CG10" s="19" t="s">
        <v>17</v>
      </c>
      <c r="CH10" s="19" t="s">
        <v>17</v>
      </c>
      <c r="CI10" s="19" t="s">
        <v>17</v>
      </c>
      <c r="CJ10" s="19" t="s">
        <v>17</v>
      </c>
      <c r="CK10" s="19" t="s">
        <v>17</v>
      </c>
      <c r="CL10" s="19" t="s">
        <v>17</v>
      </c>
      <c r="CM10" s="19" t="s">
        <v>17</v>
      </c>
      <c r="CN10" s="19" t="s">
        <v>17</v>
      </c>
      <c r="CO10" s="19" t="s">
        <v>17</v>
      </c>
      <c r="CP10" s="19" t="s">
        <v>17</v>
      </c>
      <c r="CQ10" s="19" t="s">
        <v>17</v>
      </c>
      <c r="CR10" s="19" t="s">
        <v>17</v>
      </c>
      <c r="CS10" s="19" t="s">
        <v>17</v>
      </c>
      <c r="CT10" s="19" t="s">
        <v>17</v>
      </c>
      <c r="CU10" s="19" t="s">
        <v>17</v>
      </c>
      <c r="CV10" s="19" t="s">
        <v>17</v>
      </c>
      <c r="CW10" s="19" t="s">
        <v>17</v>
      </c>
      <c r="CX10" s="19" t="s">
        <v>17</v>
      </c>
      <c r="CY10" s="19" t="s">
        <v>17</v>
      </c>
      <c r="CZ10" s="19" t="s">
        <v>17</v>
      </c>
      <c r="DA10" s="19" t="s">
        <v>17</v>
      </c>
      <c r="DB10" s="19" t="s">
        <v>17</v>
      </c>
      <c r="DC10" s="19" t="s">
        <v>17</v>
      </c>
      <c r="DD10" s="19" t="s">
        <v>17</v>
      </c>
      <c r="DE10" s="19" t="s">
        <v>17</v>
      </c>
      <c r="DF10" s="19" t="s">
        <v>17</v>
      </c>
      <c r="DG10" s="19" t="s">
        <v>17</v>
      </c>
      <c r="DH10" s="19" t="s">
        <v>17</v>
      </c>
      <c r="DI10" s="19" t="s">
        <v>17</v>
      </c>
      <c r="DJ10" s="19" t="s">
        <v>17</v>
      </c>
      <c r="DK10" s="19" t="s">
        <v>17</v>
      </c>
      <c r="DL10" s="19" t="s">
        <v>17</v>
      </c>
      <c r="DM10" s="19" t="s">
        <v>17</v>
      </c>
      <c r="DN10" s="19" t="s">
        <v>17</v>
      </c>
      <c r="DO10" s="19" t="s">
        <v>17</v>
      </c>
      <c r="DP10" s="19" t="s">
        <v>17</v>
      </c>
      <c r="DQ10" s="19" t="s">
        <v>17</v>
      </c>
      <c r="DR10" s="19" t="s">
        <v>17</v>
      </c>
      <c r="DS10" s="19" t="s">
        <v>17</v>
      </c>
      <c r="DT10" s="19" t="s">
        <v>17</v>
      </c>
      <c r="DU10" s="19" t="s">
        <v>17</v>
      </c>
      <c r="DV10" s="19" t="s">
        <v>17</v>
      </c>
      <c r="DW10" s="19" t="s">
        <v>17</v>
      </c>
      <c r="DX10" s="19" t="s">
        <v>17</v>
      </c>
      <c r="DY10" s="19" t="s">
        <v>17</v>
      </c>
      <c r="DZ10" s="19" t="s">
        <v>17</v>
      </c>
      <c r="EA10" s="19" t="s">
        <v>17</v>
      </c>
      <c r="EB10" s="19" t="s">
        <v>17</v>
      </c>
      <c r="EC10" s="19" t="s">
        <v>17</v>
      </c>
      <c r="ED10" s="19" t="s">
        <v>17</v>
      </c>
      <c r="EE10" s="19" t="s">
        <v>17</v>
      </c>
      <c r="EF10" s="19" t="s">
        <v>17</v>
      </c>
      <c r="EG10" s="19" t="s">
        <v>17</v>
      </c>
      <c r="EH10" s="19" t="s">
        <v>17</v>
      </c>
      <c r="EI10" s="19" t="s">
        <v>17</v>
      </c>
      <c r="EJ10" s="19" t="s">
        <v>17</v>
      </c>
      <c r="EK10" s="19" t="s">
        <v>17</v>
      </c>
      <c r="EL10" s="19" t="s">
        <v>17</v>
      </c>
      <c r="EM10" s="19" t="s">
        <v>17</v>
      </c>
      <c r="EN10" s="19" t="s">
        <v>17</v>
      </c>
      <c r="EO10" s="19" t="s">
        <v>17</v>
      </c>
      <c r="EP10" s="19" t="s">
        <v>17</v>
      </c>
      <c r="EQ10" s="19" t="s">
        <v>17</v>
      </c>
      <c r="ER10" s="19" t="s">
        <v>17</v>
      </c>
      <c r="ES10" s="19" t="s">
        <v>17</v>
      </c>
      <c r="ET10" s="19" t="s">
        <v>17</v>
      </c>
      <c r="EU10" s="19" t="s">
        <v>17</v>
      </c>
      <c r="EV10" s="19" t="s">
        <v>17</v>
      </c>
      <c r="EW10" s="19" t="s">
        <v>17</v>
      </c>
      <c r="EX10" s="19" t="s">
        <v>17</v>
      </c>
      <c r="EY10" s="19" t="s">
        <v>17</v>
      </c>
      <c r="EZ10" s="19" t="s">
        <v>17</v>
      </c>
      <c r="FA10" s="19" t="s">
        <v>17</v>
      </c>
      <c r="FB10" s="19" t="s">
        <v>17</v>
      </c>
      <c r="FC10" s="19" t="s">
        <v>17</v>
      </c>
      <c r="FD10" s="19" t="s">
        <v>17</v>
      </c>
      <c r="FE10" s="19" t="s">
        <v>17</v>
      </c>
      <c r="FF10" s="19" t="s">
        <v>17</v>
      </c>
      <c r="FG10" s="19" t="s">
        <v>17</v>
      </c>
      <c r="FH10" s="19" t="s">
        <v>17</v>
      </c>
      <c r="FI10" s="19" t="s">
        <v>17</v>
      </c>
      <c r="FJ10" s="19" t="s">
        <v>17</v>
      </c>
      <c r="FK10" s="19" t="s">
        <v>17</v>
      </c>
      <c r="FL10" s="19" t="s">
        <v>17</v>
      </c>
      <c r="FM10" s="19" t="s">
        <v>17</v>
      </c>
      <c r="FN10" s="19" t="s">
        <v>17</v>
      </c>
      <c r="FO10" s="19" t="s">
        <v>17</v>
      </c>
      <c r="FP10" s="19" t="s">
        <v>17</v>
      </c>
      <c r="FQ10" s="19" t="s">
        <v>17</v>
      </c>
      <c r="FR10" s="19" t="s">
        <v>17</v>
      </c>
      <c r="FS10" s="19" t="s">
        <v>17</v>
      </c>
      <c r="FT10" s="19" t="s">
        <v>17</v>
      </c>
      <c r="FU10" s="19" t="s">
        <v>17</v>
      </c>
      <c r="FV10" s="19" t="s">
        <v>17</v>
      </c>
      <c r="FW10" s="19" t="s">
        <v>17</v>
      </c>
      <c r="FX10" s="19" t="s">
        <v>17</v>
      </c>
      <c r="FY10" s="19" t="s">
        <v>17</v>
      </c>
      <c r="FZ10" s="19" t="s">
        <v>17</v>
      </c>
      <c r="GA10" s="19" t="s">
        <v>17</v>
      </c>
      <c r="GB10" s="19" t="s">
        <v>17</v>
      </c>
      <c r="GC10" s="19" t="s">
        <v>17</v>
      </c>
      <c r="GD10" s="19" t="s">
        <v>17</v>
      </c>
      <c r="GE10" s="19" t="s">
        <v>17</v>
      </c>
      <c r="GF10" s="19" t="s">
        <v>17</v>
      </c>
      <c r="GG10" s="19" t="s">
        <v>17</v>
      </c>
      <c r="GH10" s="19" t="s">
        <v>17</v>
      </c>
      <c r="GI10" s="19" t="s">
        <v>17</v>
      </c>
      <c r="GJ10" s="19" t="s">
        <v>17</v>
      </c>
      <c r="GK10" s="19" t="s">
        <v>17</v>
      </c>
      <c r="GL10" s="19" t="s">
        <v>17</v>
      </c>
      <c r="GM10" s="19" t="s">
        <v>17</v>
      </c>
      <c r="GN10" s="19" t="s">
        <v>17</v>
      </c>
      <c r="GO10" s="19" t="s">
        <v>17</v>
      </c>
      <c r="GP10" s="19" t="s">
        <v>17</v>
      </c>
      <c r="GQ10" s="19" t="s">
        <v>17</v>
      </c>
      <c r="GR10" s="19" t="s">
        <v>17</v>
      </c>
      <c r="GS10" s="19" t="s">
        <v>17</v>
      </c>
      <c r="GT10" s="19" t="s">
        <v>17</v>
      </c>
      <c r="GU10" s="19" t="s">
        <v>17</v>
      </c>
      <c r="GV10" s="19" t="s">
        <v>17</v>
      </c>
      <c r="GW10" s="19" t="s">
        <v>17</v>
      </c>
      <c r="GX10" s="19" t="s">
        <v>17</v>
      </c>
      <c r="GY10" s="19" t="s">
        <v>17</v>
      </c>
      <c r="GZ10" s="19" t="s">
        <v>17</v>
      </c>
      <c r="HA10" s="19" t="s">
        <v>17</v>
      </c>
      <c r="HB10" s="19" t="s">
        <v>17</v>
      </c>
      <c r="HC10" s="19" t="s">
        <v>17</v>
      </c>
      <c r="HD10" s="19" t="s">
        <v>17</v>
      </c>
      <c r="HE10" s="19" t="s">
        <v>17</v>
      </c>
      <c r="HF10" s="19" t="s">
        <v>17</v>
      </c>
      <c r="HG10" s="19" t="s">
        <v>17</v>
      </c>
      <c r="HH10" s="19" t="s">
        <v>17</v>
      </c>
      <c r="HI10" s="19" t="s">
        <v>17</v>
      </c>
      <c r="HJ10" s="19" t="s">
        <v>17</v>
      </c>
      <c r="HK10" s="19" t="s">
        <v>17</v>
      </c>
      <c r="HL10" s="19" t="s">
        <v>17</v>
      </c>
      <c r="HM10" s="19" t="s">
        <v>17</v>
      </c>
      <c r="HN10" s="19" t="s">
        <v>17</v>
      </c>
      <c r="HO10" s="19" t="s">
        <v>17</v>
      </c>
      <c r="HP10" s="19" t="s">
        <v>17</v>
      </c>
      <c r="HQ10" s="19" t="s">
        <v>17</v>
      </c>
      <c r="HR10" s="19" t="s">
        <v>17</v>
      </c>
      <c r="HS10" s="19" t="s">
        <v>17</v>
      </c>
      <c r="HT10" s="19" t="s">
        <v>17</v>
      </c>
      <c r="HU10" s="19" t="s">
        <v>17</v>
      </c>
      <c r="HV10" s="19" t="s">
        <v>17</v>
      </c>
      <c r="HW10" s="19" t="s">
        <v>17</v>
      </c>
      <c r="HX10" s="19" t="s">
        <v>17</v>
      </c>
      <c r="HY10" s="19" t="s">
        <v>17</v>
      </c>
      <c r="HZ10" s="19" t="s">
        <v>17</v>
      </c>
      <c r="IA10" s="19" t="s">
        <v>17</v>
      </c>
      <c r="IB10" s="19" t="s">
        <v>17</v>
      </c>
      <c r="IC10" s="19" t="s">
        <v>17</v>
      </c>
      <c r="ID10" s="19" t="s">
        <v>17</v>
      </c>
      <c r="IE10" s="19" t="s">
        <v>17</v>
      </c>
      <c r="IF10" s="19" t="s">
        <v>17</v>
      </c>
      <c r="IG10" s="19" t="s">
        <v>17</v>
      </c>
      <c r="IH10" s="19" t="s">
        <v>17</v>
      </c>
      <c r="II10" s="19" t="s">
        <v>17</v>
      </c>
      <c r="IJ10" s="19" t="s">
        <v>17</v>
      </c>
      <c r="IK10" s="19" t="s">
        <v>17</v>
      </c>
      <c r="IL10" s="19" t="s">
        <v>17</v>
      </c>
      <c r="IM10" s="19" t="s">
        <v>17</v>
      </c>
      <c r="IN10" s="19" t="s">
        <v>17</v>
      </c>
      <c r="IO10" s="19" t="s">
        <v>17</v>
      </c>
      <c r="IP10" s="19" t="s">
        <v>17</v>
      </c>
      <c r="IQ10" s="19" t="s">
        <v>17</v>
      </c>
      <c r="IR10" s="19" t="s">
        <v>17</v>
      </c>
      <c r="IS10" s="19" t="s">
        <v>17</v>
      </c>
      <c r="IT10" s="19" t="s">
        <v>17</v>
      </c>
      <c r="IU10" s="19" t="s">
        <v>17</v>
      </c>
      <c r="IV10" s="19" t="s">
        <v>17</v>
      </c>
    </row>
    <row r="11" spans="1:256" s="21" customFormat="1" ht="22.8" customHeight="1">
      <c r="A11" s="28"/>
      <c r="B11" s="3"/>
      <c r="C11" s="213" t="str">
        <f>Report!B12</f>
        <v xml:space="preserve">Source of material :- </v>
      </c>
      <c r="D11" s="213"/>
      <c r="E11" s="216" t="str">
        <f>Report!F12</f>
        <v>Saleh Swiker Soil 70% + Swiker Sand 30%</v>
      </c>
      <c r="F11" s="216"/>
      <c r="G11" s="216"/>
      <c r="H11" s="216"/>
      <c r="I11" s="216"/>
      <c r="J11" s="34"/>
      <c r="K11" s="39"/>
      <c r="L11" s="1"/>
    </row>
    <row r="12" spans="1:256" s="21" customFormat="1" ht="22.8" customHeight="1">
      <c r="A12" s="28"/>
      <c r="B12" s="81"/>
      <c r="C12" s="214" t="str">
        <f>Report!B13</f>
        <v xml:space="preserve">Description of the Tested Materials :- </v>
      </c>
      <c r="D12" s="214"/>
      <c r="E12" s="214"/>
      <c r="F12" s="83" t="str">
        <f>Report!I13</f>
        <v>Fill / SM</v>
      </c>
      <c r="G12" s="84"/>
      <c r="H12" s="83"/>
      <c r="I12" s="34"/>
      <c r="J12" s="34"/>
      <c r="K12" s="32"/>
    </row>
    <row r="13" spans="1:256" s="17" customFormat="1" ht="22.8" customHeight="1">
      <c r="A13" s="58"/>
      <c r="B13" s="85"/>
      <c r="C13" s="82" t="str">
        <f>Report!B14</f>
        <v xml:space="preserve">Stockpile : </v>
      </c>
      <c r="D13" s="86">
        <f>Report!E14</f>
        <v>3</v>
      </c>
      <c r="E13" s="87"/>
      <c r="F13" s="87"/>
      <c r="G13" s="87"/>
      <c r="H13" s="87"/>
      <c r="I13" s="87"/>
      <c r="J13" s="87"/>
      <c r="K13" s="59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</row>
    <row r="14" spans="1:256" s="15" customFormat="1" ht="24.9" customHeight="1">
      <c r="A14" s="60"/>
      <c r="B14" s="79"/>
      <c r="C14" s="34" t="str">
        <f>Report!B15</f>
        <v xml:space="preserve">Sample No: </v>
      </c>
      <c r="D14" s="33">
        <f>Report!E15</f>
        <v>50</v>
      </c>
      <c r="E14" s="88"/>
      <c r="F14" s="88"/>
      <c r="G14" s="88"/>
      <c r="H14" s="88"/>
      <c r="I14" s="88"/>
      <c r="J14" s="88"/>
      <c r="K14" s="61"/>
    </row>
    <row r="15" spans="1:256" s="15" customFormat="1" ht="36" customHeight="1" thickBot="1">
      <c r="A15" s="62"/>
      <c r="B15" s="89"/>
      <c r="E15" s="90"/>
      <c r="F15" s="90"/>
      <c r="G15" s="90"/>
      <c r="H15" s="90"/>
      <c r="I15" s="90"/>
      <c r="J15" s="90"/>
      <c r="K15" s="63"/>
    </row>
    <row r="16" spans="1:256" s="15" customFormat="1" ht="50.1" customHeight="1" thickTop="1">
      <c r="A16" s="62"/>
      <c r="B16" s="89"/>
      <c r="C16" s="196" t="s">
        <v>16</v>
      </c>
      <c r="D16" s="197"/>
      <c r="E16" s="197" t="s">
        <v>15</v>
      </c>
      <c r="F16" s="198"/>
      <c r="G16" s="197" t="s">
        <v>14</v>
      </c>
      <c r="H16" s="198"/>
      <c r="I16" s="197" t="s">
        <v>13</v>
      </c>
      <c r="J16" s="208"/>
      <c r="K16" s="64"/>
    </row>
    <row r="17" spans="1:12" s="15" customFormat="1" ht="58.8" customHeight="1" thickBot="1">
      <c r="A17" s="62"/>
      <c r="B17" s="89"/>
      <c r="C17" s="186">
        <f>Report!E15</f>
        <v>50</v>
      </c>
      <c r="D17" s="187"/>
      <c r="E17" s="188">
        <f>Report!P13</f>
        <v>0</v>
      </c>
      <c r="F17" s="188"/>
      <c r="G17" s="188" t="s">
        <v>23</v>
      </c>
      <c r="H17" s="188"/>
      <c r="I17" s="188">
        <f>Report!P15</f>
        <v>0</v>
      </c>
      <c r="J17" s="189"/>
      <c r="K17" s="64"/>
    </row>
    <row r="18" spans="1:12" s="15" customFormat="1" ht="39" customHeight="1" thickTop="1" thickBot="1">
      <c r="A18" s="65"/>
      <c r="B18" s="91"/>
      <c r="C18" s="182" t="s">
        <v>29</v>
      </c>
      <c r="D18" s="183"/>
      <c r="E18" s="184" t="s">
        <v>38</v>
      </c>
      <c r="F18" s="184"/>
      <c r="G18" s="184" t="s">
        <v>34</v>
      </c>
      <c r="H18" s="184"/>
      <c r="I18" s="184" t="s">
        <v>39</v>
      </c>
      <c r="J18" s="185"/>
      <c r="K18" s="66"/>
    </row>
    <row r="19" spans="1:12" s="15" customFormat="1" ht="62.4" customHeight="1" thickTop="1">
      <c r="A19" s="65"/>
      <c r="B19" s="91"/>
      <c r="C19" s="92"/>
      <c r="D19" s="92"/>
      <c r="E19" s="93"/>
      <c r="F19" s="93"/>
      <c r="G19" s="93"/>
      <c r="H19" s="93"/>
      <c r="I19" s="94"/>
      <c r="J19" s="94"/>
      <c r="K19" s="66"/>
    </row>
    <row r="20" spans="1:12" s="15" customFormat="1" ht="62.4" customHeight="1">
      <c r="A20" s="65"/>
      <c r="B20" s="91"/>
      <c r="C20" s="91"/>
      <c r="D20" s="94"/>
      <c r="E20" s="95"/>
      <c r="F20" s="95"/>
      <c r="G20" s="95"/>
      <c r="H20" s="95"/>
      <c r="I20" s="96"/>
      <c r="J20" s="94"/>
      <c r="K20" s="66"/>
    </row>
    <row r="21" spans="1:12" s="15" customFormat="1" ht="62.4" customHeight="1">
      <c r="A21" s="67"/>
      <c r="B21" s="97" t="s">
        <v>22</v>
      </c>
      <c r="K21" s="66"/>
    </row>
    <row r="22" spans="1:12" s="16" customFormat="1" ht="27.6" customHeight="1">
      <c r="A22" s="68"/>
      <c r="B22" s="209" t="str">
        <f>Report!B38</f>
        <v>The sample complies with the project specifications outlined in Section 31 23 16.33, Part 2, Item 2.1.B regarding suitable materials used for the construction of fill under pavements.</v>
      </c>
      <c r="C22" s="209"/>
      <c r="D22" s="209"/>
      <c r="E22" s="209"/>
      <c r="F22" s="209"/>
      <c r="G22" s="209"/>
      <c r="H22" s="209"/>
      <c r="I22" s="209"/>
      <c r="J22" s="209"/>
      <c r="K22" s="69"/>
    </row>
    <row r="23" spans="1:12" s="15" customFormat="1" ht="27.6" customHeight="1">
      <c r="A23" s="70"/>
      <c r="B23" s="209"/>
      <c r="C23" s="209"/>
      <c r="D23" s="209"/>
      <c r="E23" s="209"/>
      <c r="F23" s="209"/>
      <c r="G23" s="209"/>
      <c r="H23" s="209"/>
      <c r="I23" s="209"/>
      <c r="J23" s="209"/>
      <c r="K23" s="66"/>
    </row>
    <row r="24" spans="1:12" s="15" customFormat="1" ht="30" customHeight="1" thickBot="1">
      <c r="A24" s="71"/>
      <c r="K24" s="66"/>
    </row>
    <row r="25" spans="1:12" s="13" customFormat="1" ht="21.75" customHeight="1">
      <c r="A25" s="72" t="str">
        <f>Report!B40</f>
        <v>Prepared by : Eng. Alaa Hassan</v>
      </c>
      <c r="B25" s="14"/>
      <c r="C25" s="14"/>
      <c r="D25" s="14"/>
      <c r="E25" s="14"/>
      <c r="F25" s="14"/>
      <c r="G25" s="205" t="str">
        <f>Report!K40</f>
        <v>Dept. Manager : Eng. Reda El Raheb</v>
      </c>
      <c r="H25" s="205"/>
      <c r="I25" s="205"/>
      <c r="J25" s="205"/>
      <c r="K25" s="73"/>
      <c r="L25" s="12"/>
    </row>
    <row r="26" spans="1:12" s="13" customFormat="1" ht="30" customHeight="1" thickBot="1">
      <c r="A26" s="74"/>
      <c r="B26" s="75"/>
      <c r="C26" s="75"/>
      <c r="D26" s="75"/>
      <c r="E26" s="75"/>
      <c r="F26" s="76"/>
      <c r="G26" s="77"/>
      <c r="H26" s="77"/>
      <c r="I26" s="77"/>
      <c r="J26" s="77"/>
      <c r="K26" s="78"/>
      <c r="L26" s="12"/>
    </row>
    <row r="27" spans="1:12" s="13" customForma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 s="13" customForma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s="13" customForma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s="13" customForma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s="13" customForma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 s="13" customForma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 s="13" customForma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s="13" customForma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2" s="13" customForma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 s="13" customForma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</sheetData>
  <mergeCells count="30">
    <mergeCell ref="A1:K1"/>
    <mergeCell ref="A2:K2"/>
    <mergeCell ref="A3:K3"/>
    <mergeCell ref="G25:J25"/>
    <mergeCell ref="I6:J6"/>
    <mergeCell ref="B6:H6"/>
    <mergeCell ref="B7:H7"/>
    <mergeCell ref="I16:J16"/>
    <mergeCell ref="B22:J23"/>
    <mergeCell ref="J7:K7"/>
    <mergeCell ref="C10:D10"/>
    <mergeCell ref="C11:D11"/>
    <mergeCell ref="C12:E12"/>
    <mergeCell ref="E10:F10"/>
    <mergeCell ref="E11:I11"/>
    <mergeCell ref="B4:J4"/>
    <mergeCell ref="B5:J5"/>
    <mergeCell ref="C18:D18"/>
    <mergeCell ref="E18:F18"/>
    <mergeCell ref="G18:H18"/>
    <mergeCell ref="I18:J18"/>
    <mergeCell ref="C17:D17"/>
    <mergeCell ref="E17:F17"/>
    <mergeCell ref="G17:H17"/>
    <mergeCell ref="I17:J17"/>
    <mergeCell ref="A8:K8"/>
    <mergeCell ref="A9:K9"/>
    <mergeCell ref="C16:D16"/>
    <mergeCell ref="E16:F16"/>
    <mergeCell ref="G16:H16"/>
  </mergeCells>
  <printOptions horizontalCentered="1" verticalCentered="1"/>
  <pageMargins left="0.45" right="0.45" top="0.5" bottom="0.5" header="0" footer="0"/>
  <pageSetup paperSize="9" scale="93" orientation="portrait" r:id="rId1"/>
  <headerFooter alignWithMargins="0"/>
  <colBreaks count="1" manualBreakCount="1">
    <brk id="1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CE79-CB1F-4C9F-B906-469524283FC9}">
  <sheetPr codeName="Sheet3"/>
  <dimension ref="A1:S53"/>
  <sheetViews>
    <sheetView showGridLines="0" tabSelected="1" view="pageBreakPreview" topLeftCell="A29" zoomScaleNormal="80" zoomScaleSheetLayoutView="100" workbookViewId="0">
      <selection activeCell="L26" sqref="L26"/>
    </sheetView>
  </sheetViews>
  <sheetFormatPr defaultColWidth="9.109375" defaultRowHeight="15.6"/>
  <cols>
    <col min="1" max="1" width="2.5546875" style="21" customWidth="1"/>
    <col min="2" max="2" width="1.6640625" style="21" customWidth="1"/>
    <col min="3" max="3" width="2.6640625" style="21" customWidth="1"/>
    <col min="4" max="4" width="15.44140625" style="21" customWidth="1"/>
    <col min="5" max="5" width="17.44140625" style="21" customWidth="1"/>
    <col min="6" max="8" width="14.44140625" style="21" customWidth="1"/>
    <col min="9" max="9" width="15.21875" style="21" customWidth="1"/>
    <col min="10" max="10" width="5.88671875" style="21" customWidth="1"/>
    <col min="11" max="11" width="13.33203125" style="21" customWidth="1"/>
    <col min="12" max="12" width="12.109375" style="21" customWidth="1"/>
    <col min="13" max="13" width="30.6640625" style="21" customWidth="1"/>
    <col min="14" max="16" width="10.6640625" style="21" customWidth="1"/>
    <col min="17" max="17" width="10.5546875" style="21" bestFit="1" customWidth="1"/>
    <col min="18" max="16384" width="9.109375" style="21"/>
  </cols>
  <sheetData>
    <row r="1" spans="1:19" ht="20.100000000000001" customHeight="1">
      <c r="A1" s="103"/>
      <c r="B1" s="235" t="s">
        <v>50</v>
      </c>
      <c r="C1" s="235"/>
      <c r="D1" s="235"/>
      <c r="E1" s="235"/>
      <c r="F1" s="235"/>
      <c r="G1" s="235"/>
      <c r="H1" s="235"/>
      <c r="I1" s="235"/>
      <c r="J1" s="236"/>
    </row>
    <row r="2" spans="1:19" ht="9.9" customHeight="1">
      <c r="A2" s="28"/>
      <c r="B2" s="124"/>
      <c r="C2" s="124"/>
      <c r="D2" s="124"/>
      <c r="E2" s="124"/>
      <c r="F2" s="124"/>
      <c r="G2" s="124"/>
      <c r="H2" s="124"/>
      <c r="I2" s="124"/>
      <c r="J2" s="104"/>
    </row>
    <row r="3" spans="1:19" ht="15.9" customHeight="1">
      <c r="A3" s="28"/>
      <c r="B3" s="237" t="s">
        <v>8</v>
      </c>
      <c r="C3" s="237"/>
      <c r="D3" s="237"/>
      <c r="E3" s="237"/>
      <c r="F3" s="237"/>
      <c r="G3" s="237"/>
      <c r="H3" s="237"/>
      <c r="I3" s="237"/>
      <c r="J3" s="238"/>
    </row>
    <row r="4" spans="1:19" ht="15.9" customHeight="1">
      <c r="A4" s="28"/>
      <c r="B4" s="237" t="s">
        <v>10</v>
      </c>
      <c r="C4" s="237"/>
      <c r="D4" s="237"/>
      <c r="E4" s="237"/>
      <c r="F4" s="237"/>
      <c r="G4" s="237"/>
      <c r="H4" s="237"/>
      <c r="I4" s="237"/>
      <c r="J4" s="238"/>
    </row>
    <row r="5" spans="1:19" ht="15.9" customHeight="1">
      <c r="A5" s="28"/>
      <c r="B5" s="181" t="s">
        <v>9</v>
      </c>
      <c r="C5" s="181"/>
      <c r="D5" s="181"/>
      <c r="E5" s="181"/>
      <c r="F5" s="181"/>
      <c r="G5" s="181"/>
      <c r="H5" s="181"/>
      <c r="I5" s="181"/>
      <c r="J5" s="239"/>
    </row>
    <row r="6" spans="1:19" ht="15.6" customHeight="1">
      <c r="A6" s="28"/>
      <c r="B6" s="181" t="s">
        <v>11</v>
      </c>
      <c r="C6" s="181"/>
      <c r="D6" s="181"/>
      <c r="E6" s="181"/>
      <c r="F6" s="181"/>
      <c r="G6" s="181"/>
      <c r="H6" s="181"/>
      <c r="I6" s="181"/>
      <c r="J6" s="239"/>
    </row>
    <row r="7" spans="1:19" ht="18" customHeight="1">
      <c r="A7" s="29"/>
      <c r="B7" s="233" t="s">
        <v>21</v>
      </c>
      <c r="C7" s="233"/>
      <c r="D7" s="233"/>
      <c r="E7" s="233"/>
      <c r="F7" s="233"/>
      <c r="G7" s="105"/>
      <c r="H7" s="106"/>
      <c r="I7" s="105" t="s">
        <v>60</v>
      </c>
      <c r="J7" s="107"/>
    </row>
    <row r="8" spans="1:19" ht="18" customHeight="1">
      <c r="A8" s="30"/>
      <c r="B8" s="234" t="s">
        <v>26</v>
      </c>
      <c r="C8" s="234"/>
      <c r="D8" s="234"/>
      <c r="E8" s="234"/>
      <c r="F8" s="234"/>
      <c r="G8" s="234"/>
      <c r="H8" s="108"/>
      <c r="I8" s="125" t="s">
        <v>61</v>
      </c>
      <c r="J8" s="109"/>
    </row>
    <row r="9" spans="1:19" ht="24.6" customHeight="1">
      <c r="A9" s="29"/>
      <c r="B9" s="232" t="s">
        <v>51</v>
      </c>
      <c r="C9" s="232"/>
      <c r="D9" s="232"/>
      <c r="E9" s="232"/>
      <c r="F9" s="232"/>
      <c r="G9" s="232"/>
      <c r="H9" s="232"/>
      <c r="I9" s="232"/>
      <c r="J9" s="31"/>
    </row>
    <row r="10" spans="1:19" ht="24.6" customHeight="1">
      <c r="A10" s="30"/>
      <c r="B10" s="220" t="s">
        <v>52</v>
      </c>
      <c r="C10" s="220"/>
      <c r="D10" s="220"/>
      <c r="E10" s="220"/>
      <c r="F10" s="220"/>
      <c r="G10" s="220"/>
      <c r="H10" s="220"/>
      <c r="I10" s="220"/>
      <c r="J10" s="109"/>
    </row>
    <row r="11" spans="1:19" ht="20.399999999999999" customHeight="1">
      <c r="A11" s="28"/>
      <c r="B11" s="223" t="s">
        <v>43</v>
      </c>
      <c r="C11" s="223"/>
      <c r="D11" s="223"/>
      <c r="E11" s="223"/>
      <c r="F11" s="224">
        <f>Report!F11</f>
        <v>45900</v>
      </c>
      <c r="G11" s="224"/>
      <c r="J11" s="32"/>
    </row>
    <row r="12" spans="1:19" ht="20.399999999999999" customHeight="1">
      <c r="A12" s="28"/>
      <c r="B12" s="225" t="s">
        <v>44</v>
      </c>
      <c r="C12" s="225"/>
      <c r="D12" s="225"/>
      <c r="E12" s="226" t="str">
        <f>Report!F12</f>
        <v>Saleh Swiker Soil 70% + Swiker Sand 30%</v>
      </c>
      <c r="F12" s="226"/>
      <c r="G12" s="226"/>
      <c r="H12" s="126"/>
      <c r="J12" s="32"/>
    </row>
    <row r="13" spans="1:19" ht="20.399999999999999" customHeight="1">
      <c r="A13" s="28"/>
      <c r="B13" s="213" t="s">
        <v>48</v>
      </c>
      <c r="C13" s="213"/>
      <c r="D13" s="213"/>
      <c r="E13" s="213"/>
      <c r="F13" s="216" t="str">
        <f>Report!I13</f>
        <v>Fill / SM</v>
      </c>
      <c r="G13" s="216"/>
      <c r="H13" s="22"/>
      <c r="J13" s="32"/>
    </row>
    <row r="14" spans="1:19" ht="20.399999999999999" customHeight="1">
      <c r="A14" s="28"/>
      <c r="B14" s="213" t="s">
        <v>32</v>
      </c>
      <c r="C14" s="213"/>
      <c r="D14" s="213"/>
      <c r="E14" s="33">
        <f>Report!E14</f>
        <v>3</v>
      </c>
      <c r="F14" s="102"/>
      <c r="G14" s="102"/>
      <c r="H14" s="22"/>
      <c r="J14" s="32"/>
    </row>
    <row r="15" spans="1:19" ht="20.399999999999999" customHeight="1">
      <c r="A15" s="28"/>
      <c r="B15" s="213" t="s">
        <v>33</v>
      </c>
      <c r="C15" s="213"/>
      <c r="D15" s="213"/>
      <c r="E15" s="33">
        <f>Report!E15</f>
        <v>50</v>
      </c>
      <c r="F15" s="34"/>
      <c r="G15" s="34"/>
      <c r="H15" s="127"/>
      <c r="J15" s="32"/>
      <c r="S15" s="22"/>
    </row>
    <row r="16" spans="1:19" ht="8.1" customHeight="1" thickBot="1">
      <c r="A16" s="28"/>
      <c r="B16" s="34"/>
      <c r="C16" s="34"/>
      <c r="D16" s="34"/>
      <c r="E16" s="33"/>
      <c r="F16" s="34"/>
      <c r="G16" s="34"/>
      <c r="H16" s="35"/>
      <c r="J16" s="32"/>
    </row>
    <row r="17" spans="1:11" ht="46.5" customHeight="1" thickTop="1" thickBot="1">
      <c r="A17" s="28"/>
      <c r="B17" s="221" t="s">
        <v>53</v>
      </c>
      <c r="C17" s="222"/>
      <c r="D17" s="222"/>
      <c r="E17" s="110">
        <v>2.145</v>
      </c>
      <c r="F17" s="110">
        <v>2.202</v>
      </c>
      <c r="G17" s="110">
        <v>2.2599999999999998</v>
      </c>
      <c r="H17" s="111">
        <v>2.226</v>
      </c>
      <c r="I17" s="110"/>
      <c r="J17" s="32"/>
    </row>
    <row r="18" spans="1:11" ht="35.1" customHeight="1" thickTop="1">
      <c r="A18" s="28"/>
      <c r="B18" s="227" t="s">
        <v>54</v>
      </c>
      <c r="C18" s="228"/>
      <c r="D18" s="228"/>
      <c r="E18" s="112">
        <v>4.7</v>
      </c>
      <c r="F18" s="112">
        <v>5.4</v>
      </c>
      <c r="G18" s="112">
        <v>7.1</v>
      </c>
      <c r="H18" s="113">
        <v>8.1999999999999993</v>
      </c>
      <c r="I18" s="112"/>
      <c r="J18" s="32"/>
    </row>
    <row r="19" spans="1:11" ht="48" customHeight="1" thickBot="1">
      <c r="A19" s="28"/>
      <c r="B19" s="229" t="s">
        <v>55</v>
      </c>
      <c r="C19" s="230"/>
      <c r="D19" s="230"/>
      <c r="E19" s="114">
        <f>E17/(1+E18/100)</f>
        <v>2.0487106017191978</v>
      </c>
      <c r="F19" s="114">
        <f t="shared" ref="F19:H19" si="0">F17/(1+F18/100)</f>
        <v>2.0891840607210623</v>
      </c>
      <c r="G19" s="114">
        <f t="shared" si="0"/>
        <v>2.1101774042950514</v>
      </c>
      <c r="H19" s="115">
        <f t="shared" si="0"/>
        <v>2.0573012939001849</v>
      </c>
      <c r="I19" s="114"/>
      <c r="J19" s="32"/>
    </row>
    <row r="20" spans="1:11" ht="8.1" customHeight="1" thickTop="1">
      <c r="A20" s="28"/>
      <c r="J20" s="32"/>
    </row>
    <row r="21" spans="1:11" ht="20.100000000000001" customHeight="1">
      <c r="A21" s="28"/>
      <c r="J21" s="32"/>
    </row>
    <row r="22" spans="1:11" ht="20.100000000000001" customHeight="1">
      <c r="A22" s="28"/>
      <c r="J22" s="32"/>
    </row>
    <row r="23" spans="1:11" ht="20.100000000000001" customHeight="1">
      <c r="A23" s="28"/>
      <c r="J23" s="32"/>
    </row>
    <row r="24" spans="1:11" ht="20.100000000000001" customHeight="1">
      <c r="A24" s="28"/>
      <c r="J24" s="32"/>
    </row>
    <row r="25" spans="1:11" ht="20.100000000000001" customHeight="1">
      <c r="A25" s="28"/>
      <c r="J25" s="32"/>
    </row>
    <row r="26" spans="1:11" ht="20.100000000000001" customHeight="1">
      <c r="A26" s="28"/>
      <c r="J26" s="32"/>
    </row>
    <row r="27" spans="1:11" ht="20.100000000000001" customHeight="1">
      <c r="A27" s="28"/>
      <c r="J27" s="32"/>
      <c r="K27" s="46"/>
    </row>
    <row r="28" spans="1:11" ht="20.100000000000001" customHeight="1">
      <c r="A28" s="28"/>
      <c r="J28" s="32"/>
      <c r="K28" s="46"/>
    </row>
    <row r="29" spans="1:11" ht="20.100000000000001" customHeight="1">
      <c r="A29" s="28"/>
      <c r="J29" s="32"/>
      <c r="K29" s="46"/>
    </row>
    <row r="30" spans="1:11" ht="20.100000000000001" customHeight="1">
      <c r="A30" s="28"/>
      <c r="J30" s="32"/>
      <c r="K30" s="46"/>
    </row>
    <row r="31" spans="1:11" ht="20.100000000000001" customHeight="1">
      <c r="A31" s="28"/>
      <c r="J31" s="32"/>
    </row>
    <row r="32" spans="1:11" ht="20.100000000000001" customHeight="1">
      <c r="A32" s="28"/>
      <c r="J32" s="32"/>
    </row>
    <row r="33" spans="1:12" ht="20.100000000000001" customHeight="1">
      <c r="A33" s="28"/>
      <c r="J33" s="32"/>
    </row>
    <row r="34" spans="1:12" ht="3.9" customHeight="1">
      <c r="A34" s="28"/>
      <c r="J34" s="32"/>
    </row>
    <row r="35" spans="1:12" ht="15.9" customHeight="1">
      <c r="A35" s="116"/>
      <c r="B35" s="22"/>
      <c r="D35" s="128"/>
      <c r="E35" s="128"/>
      <c r="F35" s="128"/>
      <c r="G35" s="128"/>
      <c r="H35" s="128"/>
      <c r="I35" s="128"/>
      <c r="J35" s="117"/>
    </row>
    <row r="36" spans="1:12" ht="22.2" customHeight="1">
      <c r="A36" s="116"/>
      <c r="B36" s="22"/>
      <c r="C36" s="129"/>
      <c r="D36" s="44" t="s">
        <v>56</v>
      </c>
      <c r="E36" s="44"/>
      <c r="F36" s="130">
        <v>2.1179999999999999</v>
      </c>
      <c r="G36" s="21" t="s">
        <v>57</v>
      </c>
      <c r="I36" s="128"/>
      <c r="J36" s="117"/>
    </row>
    <row r="37" spans="1:12" ht="22.2" customHeight="1">
      <c r="A37" s="116"/>
      <c r="B37" s="22"/>
      <c r="C37" s="129"/>
      <c r="D37" s="231" t="s">
        <v>58</v>
      </c>
      <c r="E37" s="231"/>
      <c r="F37" s="131">
        <v>6.6</v>
      </c>
      <c r="G37" s="132" t="s">
        <v>59</v>
      </c>
      <c r="H37" s="133"/>
      <c r="I37" s="128"/>
      <c r="J37" s="117"/>
    </row>
    <row r="38" spans="1:12" ht="15.9" customHeight="1">
      <c r="A38" s="116"/>
      <c r="B38" s="22"/>
      <c r="D38" s="134"/>
      <c r="E38" s="128"/>
      <c r="F38" s="131"/>
      <c r="G38" s="128"/>
      <c r="H38" s="128"/>
      <c r="I38" s="128"/>
      <c r="J38" s="117"/>
    </row>
    <row r="39" spans="1:12" ht="8.1" customHeight="1">
      <c r="A39" s="28"/>
      <c r="J39" s="32"/>
    </row>
    <row r="40" spans="1:12" ht="28.2" customHeight="1">
      <c r="A40" s="29"/>
      <c r="B40" s="164" t="str">
        <f>Report!B40</f>
        <v>Prepared by : Eng. Alaa Hassan</v>
      </c>
      <c r="C40" s="164"/>
      <c r="D40" s="164"/>
      <c r="E40" s="164"/>
      <c r="F40" s="118"/>
      <c r="G40" s="217" t="str">
        <f>Report!K40</f>
        <v>Dept. Manager : Eng. Reda El Raheb</v>
      </c>
      <c r="H40" s="217"/>
      <c r="I40" s="217"/>
      <c r="J40" s="218"/>
    </row>
    <row r="41" spans="1:12" ht="28.2" customHeight="1" thickBot="1">
      <c r="A41" s="119"/>
      <c r="B41" s="219"/>
      <c r="C41" s="219"/>
      <c r="D41" s="219"/>
      <c r="E41" s="219"/>
      <c r="F41" s="219"/>
      <c r="G41" s="120"/>
      <c r="H41" s="120"/>
      <c r="I41" s="120"/>
      <c r="J41" s="121"/>
    </row>
    <row r="42" spans="1:12" ht="15.75" customHeight="1">
      <c r="L42" s="122"/>
    </row>
    <row r="43" spans="1:12" ht="15.75" customHeight="1">
      <c r="L43" s="122"/>
    </row>
    <row r="44" spans="1:12" ht="15.75" customHeight="1">
      <c r="F44" s="136">
        <f>F37</f>
        <v>6.6</v>
      </c>
      <c r="G44" s="136">
        <f>F37</f>
        <v>6.6</v>
      </c>
      <c r="H44" s="136">
        <v>0</v>
      </c>
      <c r="L44" s="122"/>
    </row>
    <row r="45" spans="1:12" ht="15.75" customHeight="1">
      <c r="F45" s="137">
        <f>F36</f>
        <v>2.1179999999999999</v>
      </c>
      <c r="G45" s="137">
        <f>F36-(F36-E19)</f>
        <v>2.0487106017191978</v>
      </c>
      <c r="H45" s="137">
        <f>F36</f>
        <v>2.1179999999999999</v>
      </c>
      <c r="L45" s="122"/>
    </row>
    <row r="46" spans="1:12" ht="15.75" customHeight="1">
      <c r="F46" s="136"/>
      <c r="G46" s="136"/>
      <c r="H46" s="136"/>
      <c r="L46" s="122"/>
    </row>
    <row r="47" spans="1:12" ht="15.75" customHeight="1">
      <c r="F47" s="136"/>
      <c r="G47" s="136"/>
      <c r="H47" s="137"/>
      <c r="L47" s="122"/>
    </row>
    <row r="48" spans="1:12" ht="15.75" customHeight="1">
      <c r="L48" s="122"/>
    </row>
    <row r="49" spans="12:16" ht="15.75" customHeight="1">
      <c r="L49" s="122"/>
    </row>
    <row r="50" spans="12:16" ht="15.75" customHeight="1">
      <c r="L50" s="122"/>
    </row>
    <row r="51" spans="12:16" ht="15.75" customHeight="1">
      <c r="L51" s="122"/>
    </row>
    <row r="52" spans="12:16" ht="15.75" customHeight="1">
      <c r="L52" s="122"/>
      <c r="M52" s="123"/>
      <c r="N52" s="123"/>
      <c r="O52" s="123"/>
      <c r="P52" s="123"/>
    </row>
    <row r="53" spans="12:16" ht="15.75" customHeight="1">
      <c r="L53" s="122"/>
      <c r="M53" s="123"/>
      <c r="N53" s="123"/>
      <c r="O53" s="123"/>
      <c r="P53" s="123"/>
    </row>
  </sheetData>
  <sheetProtection selectLockedCells="1"/>
  <mergeCells count="24">
    <mergeCell ref="B9:I9"/>
    <mergeCell ref="B7:F7"/>
    <mergeCell ref="B8:G8"/>
    <mergeCell ref="B1:J1"/>
    <mergeCell ref="B3:J3"/>
    <mergeCell ref="B4:J4"/>
    <mergeCell ref="B5:J5"/>
    <mergeCell ref="B6:J6"/>
    <mergeCell ref="B40:E40"/>
    <mergeCell ref="G40:J40"/>
    <mergeCell ref="B41:F41"/>
    <mergeCell ref="B10:I10"/>
    <mergeCell ref="B14:D14"/>
    <mergeCell ref="B15:D15"/>
    <mergeCell ref="B17:D17"/>
    <mergeCell ref="B11:E11"/>
    <mergeCell ref="F11:G11"/>
    <mergeCell ref="B12:D12"/>
    <mergeCell ref="E12:G12"/>
    <mergeCell ref="B13:E13"/>
    <mergeCell ref="F13:G13"/>
    <mergeCell ref="B18:D18"/>
    <mergeCell ref="B19:D19"/>
    <mergeCell ref="D37:E37"/>
  </mergeCells>
  <printOptions horizontalCentered="1" verticalCentered="1"/>
  <pageMargins left="0.196850393700787" right="0.196850393700787" top="0.196850393700787" bottom="0.196850393700787" header="0" footer="0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Report</vt:lpstr>
      <vt:lpstr>PI</vt:lpstr>
      <vt:lpstr>Proctor</vt:lpstr>
      <vt:lpstr>PI!Print_Area</vt:lpstr>
      <vt:lpstr>Proctor!Print_Area</vt:lpstr>
      <vt:lpstr>Report!Print_Area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mohamed hamed</cp:lastModifiedBy>
  <cp:lastPrinted>2025-10-08T21:51:17Z</cp:lastPrinted>
  <dcterms:created xsi:type="dcterms:W3CDTF">2010-09-24T16:37:05Z</dcterms:created>
  <dcterms:modified xsi:type="dcterms:W3CDTF">2025-10-14T07:14:00Z</dcterms:modified>
</cp:coreProperties>
</file>